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64d36357484a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4b4a34505d114bf2"/>
    <x:sheet xmlns:r="http://schemas.openxmlformats.org/officeDocument/2006/relationships" name="企业与用户" sheetId="2" r:id="R3a31a1a940c14d37"/>
    <x:sheet xmlns:r="http://schemas.openxmlformats.org/officeDocument/2006/relationships" name="发票" sheetId="3" r:id="R9a5dcbef15484f54"/>
    <x:sheet xmlns:r="http://schemas.openxmlformats.org/officeDocument/2006/relationships" name="银行流水" sheetId="4" r:id="R25d9e8879b214c50"/>
    <x:sheet xmlns:r="http://schemas.openxmlformats.org/officeDocument/2006/relationships" name="字段说明" sheetId="5" r:id="Rb692067a2acb40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yyyy-mm"/>
    <x:numFmt numFmtId="202" formatCode="0"/>
    <x:numFmt numFmtId="203" formatCode="#,##0.00"/>
    <x:numFmt numFmtId="204" formatCode="yyyy-mm-dd"/>
  </x:numFmts>
  <x:fonts count="6">
    <x:font>
      <x:sz val="11"/>
      <x:name val="Carlito"/>
    </x:font>
    <x:font>
      <x:sz val="11"/>
      <x:color rgb="FF23364D"/>
      <x:name val="Arial"/>
    </x:font>
    <x:font>
      <x:b/>
      <x:sz val="17"/>
      <x:color rgb="FF23364D"/>
      <x:name val="Arial"/>
    </x:font>
    <x:font>
      <x:i/>
      <x:sz val="11"/>
      <x:color rgb="FF546478"/>
      <x:name val="Arial"/>
    </x:font>
    <x:font>
      <x:b/>
      <x:sz val="11"/>
      <x:color rgb="FF2F557F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3364D"/>
      </x:patternFill>
    </x:fill>
    <x:fill>
      <x:patternFill patternType="solid">
        <x:fgColor rgb="FFF3F6FA"/>
      </x:patternFill>
    </x:fill>
    <x:fill>
      <x:patternFill patternType="solid">
        <x:fgColor rgb="FFFFF3D4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CBD4DF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5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2" xfId="0" applyNumberFormat="1" applyFont="1" applyFill="1" applyBorder="1" applyAlignment="1">
      <x:alignment horizontal="center" vertical="center"/>
    </x:xf>
    <x:xf numFmtId="0" fontId="5" fillId="2" borderId="3" xfId="0" applyNumberFormat="1" applyFont="1" applyFill="1" applyBorder="1" applyAlignment="1">
      <x:alignment horizontal="center" vertical="center"/>
    </x:xf>
    <x:xf numFmtId="0" fontId="5" fillId="2" borderId="4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3" borderId="1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1" fontId="1" fillId="3" borderId="1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2" fontId="1" fillId="3" borderId="1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203" fontId="1" fillId="3" borderId="1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  <x:xf numFmtId="202" fontId="1" fillId="3" borderId="0" xfId="0" applyNumberFormat="1" applyFont="1" applyFill="1" applyBorder="1" applyAlignment="1">
      <x:alignment horizontal="right" vertical="center"/>
    </x:xf>
    <x:xf numFmtId="203" fontId="1" fillId="3" borderId="0" xfId="0" applyNumberFormat="1" applyFont="1" applyFill="1" applyBorder="1" applyAlignment="1">
      <x:alignment horizontal="right" vertical="center"/>
    </x:xf>
    <x:xf numFmtId="202" fontId="1" fillId="3" borderId="1" xfId="0" applyNumberFormat="1" applyFont="1" applyFill="1" applyBorder="1" applyAlignment="1">
      <x:alignment horizontal="right" vertical="center"/>
    </x:xf>
    <x:xf numFmtId="203" fontId="1" fillId="3" borderId="1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center" vertical="center"/>
    </x:xf>
    <x:xf numFmtId="201" fontId="1" fillId="3" borderId="0" xfId="0" applyNumberFormat="1" applyFont="1" applyFill="1" applyBorder="1" applyAlignment="1">
      <x:alignment horizontal="center" vertical="center"/>
    </x:xf>
    <x:xf numFmtId="201" fontId="1" fillId="3" borderId="1" xfId="0" applyNumberFormat="1" applyFont="1" applyFill="1" applyBorder="1" applyAlignment="1">
      <x:alignment horizontal="center" vertical="center"/>
    </x:xf>
    <x:xf numFmtId="204" fontId="1" fillId="0" borderId="0" xfId="0" applyNumberFormat="1" applyFont="1" applyFill="1" applyBorder="1" applyAlignment="1">
      <x:alignment vertical="center"/>
    </x:xf>
    <x:xf numFmtId="204" fontId="1" fillId="3" borderId="0" xfId="0" applyNumberFormat="1" applyFont="1" applyFill="1" applyBorder="1" applyAlignment="1">
      <x:alignment vertical="center"/>
    </x:xf>
    <x:xf numFmtId="204" fontId="1" fillId="3" borderId="1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horizontal="center" vertical="center"/>
    </x:xf>
    <x:xf numFmtId="204" fontId="1" fillId="3" borderId="0" xfId="0" applyNumberFormat="1" applyFont="1" applyFill="1" applyBorder="1" applyAlignment="1">
      <x:alignment horizontal="center" vertical="center"/>
    </x:xf>
    <x:xf numFmtId="204" fontId="1" fillId="3" borderId="1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2fa49000d7400f" /><Relationship Type="http://schemas.openxmlformats.org/officeDocument/2006/relationships/theme" Target="/xl/theme/theme1.xml" Id="R74cc718e2a194723" /><Relationship Type="http://schemas.openxmlformats.org/officeDocument/2006/relationships/sharedStrings" Target="/xl/sharedStrings.xml" Id="R84ec398f01584d57" /><Relationship Type="http://schemas.openxmlformats.org/officeDocument/2006/relationships/worksheet" Target="/xl/worksheets/sheet1.xml" Id="R4b4a34505d114bf2" /><Relationship Type="http://schemas.openxmlformats.org/officeDocument/2006/relationships/worksheet" Target="/xl/worksheets/sheet2.xml" Id="R3a31a1a940c14d37" /><Relationship Type="http://schemas.openxmlformats.org/officeDocument/2006/relationships/worksheet" Target="/xl/worksheets/sheet3.xml" Id="R9a5dcbef15484f54" /><Relationship Type="http://schemas.openxmlformats.org/officeDocument/2006/relationships/worksheet" Target="/xl/worksheets/sheet4.xml" Id="R25d9e8879b214c50" /><Relationship Type="http://schemas.openxmlformats.org/officeDocument/2006/relationships/worksheet" Target="/xl/worksheets/sheet5.xml" Id="Rb692067a2acb408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3364D"/>
  </x:sheetPr>
  <x:sheetViews>
    <x:sheetView showGridLines="0" workbookViewId="0"/>
  </x:sheetViews>
  <x:sheetFormatPr defaultRowHeight="15"/>
  <x:cols>
    <x:col min="1" max="1" width="18" hidden="0" customWidth="1"/>
    <x:col min="2" max="2" width="19" hidden="0" customWidth="1"/>
    <x:col min="3" max="3" width="17" hidden="0" customWidth="1"/>
    <x:col min="4" max="4" width="17" hidden="0" customWidth="1"/>
    <x:col min="5" max="5" width="23" hidden="0" customWidth="1"/>
    <x:col min="6" max="6" width="22" hidden="0" customWidth="1"/>
    <x:col min="7" max="7" width="22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</x:row>
    <x:row r="2" ht="34" customHeight="1">
      <x:c r="A2" s="4" t="str">
        <x:v>财税 Harness 示例数据</x:v>
      </x:c>
      <x:c r="B2" s="5"/>
      <x:c r="C2" s="5"/>
      <x:c r="D2" s="5"/>
      <x:c r="E2" s="5"/>
      <x:c r="F2" s="5"/>
      <x:c r="G2" s="5"/>
    </x:row>
    <x:row r="3" ht="27" customHeight="1">
      <x:c r="A3" s="6" t="str">
        <x:v>材料版本 v1.1.0。全部为比赛虚构资料，不含真实企业税号、银行账户或个人信息。</x:v>
      </x:c>
      <x:c r="B3" s="2"/>
      <x:c r="C3" s="2"/>
      <x:c r="D3" s="2"/>
      <x:c r="E3" s="2"/>
      <x:c r="F3" s="2"/>
      <x:c r="G3" s="2"/>
    </x:row>
    <x:row r="4" ht="27" customHeight="1">
      <x:c r="A4" s="2"/>
      <x:c r="B4" s="2"/>
      <x:c r="C4" s="2"/>
      <x:c r="D4" s="2"/>
      <x:c r="E4" s="2"/>
      <x:c r="F4" s="2"/>
      <x:c r="G4" s="2"/>
    </x:row>
    <x:row r="5" ht="27" customHeight="1">
      <x:c r="A5" s="2" t="str">
        <x:v>范围：2 家企业、2 位用户、2026 年 8 月与 9 月，共 40 张发票、48 条银行流水。</x:v>
      </x:c>
      <x:c r="B5" s="2"/>
      <x:c r="C5" s="2"/>
      <x:c r="D5" s="2"/>
      <x:c r="E5" s="2"/>
      <x:c r="F5" s="2"/>
      <x:c r="G5" s="2"/>
    </x:row>
    <x:row r="6" ht="27" customHeight="1">
      <x:c r="A6" s="2" t="str">
        <x:v>学生自行导入数据并实现查询和保存。用途、备注为空时保留为空，不用“未填”文字占位。</x:v>
      </x:c>
      <x:c r="B6" s="2"/>
      <x:c r="C6" s="2"/>
      <x:c r="D6" s="2"/>
      <x:c r="E6" s="2"/>
      <x:c r="F6" s="2"/>
      <x:c r="G6" s="2"/>
    </x:row>
    <x:row r="7" ht="27" customHeight="1">
      <x:c r="A7" s="2" t="str">
        <x:v>发票金额为价税合计；银行收入和支出分开统计，两类金额不要求相等。</x:v>
      </x:c>
      <x:c r="B7" s="2"/>
      <x:c r="C7" s="2"/>
      <x:c r="D7" s="2"/>
      <x:c r="E7" s="2"/>
      <x:c r="F7" s="2"/>
      <x:c r="G7" s="2"/>
    </x:row>
    <x:row r="8" ht="27" customHeight="1">
      <x:c r="A8" s="2" t="str">
        <x:v>每家企业每月 10 张发票、12 条银行流水。以下汇总按本簿明细计算，用于资料核对。</x:v>
      </x:c>
      <x:c r="B8" s="2"/>
      <x:c r="C8" s="2"/>
      <x:c r="D8" s="2"/>
      <x:c r="E8" s="2"/>
      <x:c r="F8" s="2"/>
      <x:c r="G8" s="2"/>
    </x:row>
    <x:row r="9" ht="27" customHeight="1">
      <x:c r="A9" s="2"/>
      <x:c r="B9" s="2"/>
      <x:c r="C9" s="2"/>
      <x:c r="D9" s="2"/>
      <x:c r="E9" s="2"/>
      <x:c r="F9" s="2"/>
      <x:c r="G9" s="2"/>
    </x:row>
    <x:row r="10" ht="27" customHeight="1">
      <x:c r="A10" s="7" t="str">
        <x:v>按企业与月份核对</x:v>
      </x:c>
      <x:c r="B10" s="2"/>
      <x:c r="C10" s="2"/>
      <x:c r="D10" s="2"/>
      <x:c r="E10" s="2"/>
      <x:c r="F10" s="2"/>
      <x:c r="G10" s="2"/>
    </x:row>
    <x:row r="11" ht="31" customHeight="1">
      <x:c r="A11" s="11" t="str">
        <x:v>企业编号</x:v>
      </x:c>
      <x:c r="B11" s="12" t="str">
        <x:v>月份</x:v>
      </x:c>
      <x:c r="C11" s="12" t="str">
        <x:v>发票张数</x:v>
      </x:c>
      <x:c r="D11" s="12" t="str">
        <x:v>流水条数</x:v>
      </x:c>
      <x:c r="E11" s="12" t="str">
        <x:v>价税合计（元）</x:v>
      </x:c>
      <x:c r="F11" s="12" t="str">
        <x:v>银行支出（元）</x:v>
      </x:c>
      <x:c r="G11" s="13" t="str">
        <x:v>银行收入（元）</x:v>
      </x:c>
    </x:row>
    <x:row r="12" ht="27" customHeight="1">
      <x:c r="A12" s="16" t="str">
        <x:v>C001</x:v>
      </x:c>
      <x:c r="B12" s="34" t="d">
        <x:v>2026-07-01T00:00:00.000Z</x:v>
      </x:c>
      <x:c r="C12" s="28" t="n">
        <x:f>COUNTIFS('发票'!$A$6:$A$45,$A12,'发票'!$C$6:$C$45,"&gt;="&amp;$B12,'发票'!$C$6:$C$45,"&lt;"&amp;EDATE($B12,1))</x:f>
        <x:v>0</x:v>
      </x:c>
      <x:c r="D12" s="28" t="n">
        <x:f>COUNTIFS('银行流水'!$A$6:$A$53,$A12,'银行流水'!$C$6:$C$53,"&gt;="&amp;$B12,'银行流水'!$C$6:$C$53,"&lt;"&amp;EDATE($B12,1))</x:f>
        <x:v>0</x:v>
      </x:c>
      <x:c r="E12" s="29" t="n">
        <x:f>SUMIFS('发票'!$F$6:$F$45,'发票'!$A$6:$A$45,$A12,'发票'!$C$6:$C$45,"&gt;="&amp;$B12,'发票'!$C$6:$C$45,"&lt;"&amp;EDATE($B12,1))</x:f>
        <x:v>0</x:v>
      </x:c>
      <x:c r="F12" s="29" t="n">
        <x:f>SUMIFS('银行流水'!$E$6:$E$53,'银行流水'!$A$6:$A$53,$A12,'银行流水'!$C$6:$C$53,"&gt;="&amp;$B12,'银行流水'!$C$6:$C$53,"&lt;"&amp;EDATE($B12,1),'银行流水'!$D$6:$D$53,"支出")</x:f>
        <x:v>0</x:v>
      </x:c>
      <x:c r="G12" s="29" t="n">
        <x:f>SUMIFS('银行流水'!$E$6:$E$53,'银行流水'!$A$6:$A$53,$A12,'银行流水'!$C$6:$C$53,"&gt;="&amp;$B12,'银行流水'!$C$6:$C$53,"&lt;"&amp;EDATE($B12,1),'银行流水'!$D$6:$D$53,"收入")</x:f>
        <x:v>0</x:v>
      </x:c>
    </x:row>
    <x:row r="13" ht="27" customHeight="1">
      <x:c r="A13" s="17" t="str">
        <x:v>C001</x:v>
      </x:c>
      <x:c r="B13" s="35" t="d">
        <x:v>2026-08-01T00:00:00.000Z</x:v>
      </x:c>
      <x:c r="C13" s="30" t="n">
        <x:f>COUNTIFS('发票'!$A$6:$A$45,$A13,'发票'!$C$6:$C$45,"&gt;="&amp;$B13,'发票'!$C$6:$C$45,"&lt;"&amp;EDATE($B13,1))</x:f>
        <x:v>10</x:v>
      </x:c>
      <x:c r="D13" s="30" t="n">
        <x:f>COUNTIFS('银行流水'!$A$6:$A$53,$A13,'银行流水'!$C$6:$C$53,"&gt;="&amp;$B13,'银行流水'!$C$6:$C$53,"&lt;"&amp;EDATE($B13,1))</x:f>
        <x:v>12</x:v>
      </x:c>
      <x:c r="E13" s="31" t="n">
        <x:f>SUMIFS('发票'!$F$6:$F$45,'发票'!$A$6:$A$45,$A13,'发票'!$C$6:$C$45,"&gt;="&amp;$B13,'发票'!$C$6:$C$45,"&lt;"&amp;EDATE($B13,1))</x:f>
        <x:v>9046.35</x:v>
      </x:c>
      <x:c r="F13" s="31" t="n">
        <x:f>SUMIFS('银行流水'!$E$6:$E$53,'银行流水'!$A$6:$A$53,$A13,'银行流水'!$C$6:$C$53,"&gt;="&amp;$B13,'银行流水'!$C$6:$C$53,"&lt;"&amp;EDATE($B13,1),'银行流水'!$D$6:$D$53,"支出")</x:f>
        <x:v>5720.99</x:v>
      </x:c>
      <x:c r="G13" s="31" t="n">
        <x:f>SUMIFS('银行流水'!$E$6:$E$53,'银行流水'!$A$6:$A$53,$A13,'银行流水'!$C$6:$C$53,"&gt;="&amp;$B13,'银行流水'!$C$6:$C$53,"&lt;"&amp;EDATE($B13,1),'银行流水'!$D$6:$D$53,"收入")</x:f>
        <x:v>14850.75</x:v>
      </x:c>
    </x:row>
    <x:row r="14" ht="27" customHeight="1">
      <x:c r="A14" s="16" t="str">
        <x:v>C001</x:v>
      </x:c>
      <x:c r="B14" s="34" t="d">
        <x:v>2026-09-01T00:00:00.000Z</x:v>
      </x:c>
      <x:c r="C14" s="28" t="n">
        <x:f>COUNTIFS('发票'!$A$6:$A$45,$A14,'发票'!$C$6:$C$45,"&gt;="&amp;$B14,'发票'!$C$6:$C$45,"&lt;"&amp;EDATE($B14,1))</x:f>
        <x:v>10</x:v>
      </x:c>
      <x:c r="D14" s="28" t="n">
        <x:f>COUNTIFS('银行流水'!$A$6:$A$53,$A14,'银行流水'!$C$6:$C$53,"&gt;="&amp;$B14,'银行流水'!$C$6:$C$53,"&lt;"&amp;EDATE($B14,1))</x:f>
        <x:v>12</x:v>
      </x:c>
      <x:c r="E14" s="29" t="n">
        <x:f>SUMIFS('发票'!$F$6:$F$45,'发票'!$A$6:$A$45,$A14,'发票'!$C$6:$C$45,"&gt;="&amp;$B14,'发票'!$C$6:$C$45,"&lt;"&amp;EDATE($B14,1))</x:f>
        <x:v>9622.060000000001</x:v>
      </x:c>
      <x:c r="F14" s="29" t="n">
        <x:f>SUMIFS('银行流水'!$E$6:$E$53,'银行流水'!$A$6:$A$53,$A14,'银行流水'!$C$6:$C$53,"&gt;="&amp;$B14,'银行流水'!$C$6:$C$53,"&lt;"&amp;EDATE($B14,1),'银行流水'!$D$6:$D$53,"支出")</x:f>
        <x:v>7180.74</x:v>
      </x:c>
      <x:c r="G14" s="29" t="n">
        <x:f>SUMIFS('银行流水'!$E$6:$E$53,'银行流水'!$A$6:$A$53,$A14,'银行流水'!$C$6:$C$53,"&gt;="&amp;$B14,'银行流水'!$C$6:$C$53,"&lt;"&amp;EDATE($B14,1),'银行流水'!$D$6:$D$53,"收入")</x:f>
        <x:v>13000.5</x:v>
      </x:c>
    </x:row>
    <x:row r="15" ht="27" customHeight="1">
      <x:c r="A15" s="17" t="str">
        <x:v>C002</x:v>
      </x:c>
      <x:c r="B15" s="35" t="d">
        <x:v>2026-07-01T00:00:00.000Z</x:v>
      </x:c>
      <x:c r="C15" s="30" t="n">
        <x:f>COUNTIFS('发票'!$A$6:$A$45,$A15,'发票'!$C$6:$C$45,"&gt;="&amp;$B15,'发票'!$C$6:$C$45,"&lt;"&amp;EDATE($B15,1))</x:f>
        <x:v>0</x:v>
      </x:c>
      <x:c r="D15" s="30" t="n">
        <x:f>COUNTIFS('银行流水'!$A$6:$A$53,$A15,'银行流水'!$C$6:$C$53,"&gt;="&amp;$B15,'银行流水'!$C$6:$C$53,"&lt;"&amp;EDATE($B15,1))</x:f>
        <x:v>0</x:v>
      </x:c>
      <x:c r="E15" s="31" t="n">
        <x:f>SUMIFS('发票'!$F$6:$F$45,'发票'!$A$6:$A$45,$A15,'发票'!$C$6:$C$45,"&gt;="&amp;$B15,'发票'!$C$6:$C$45,"&lt;"&amp;EDATE($B15,1))</x:f>
        <x:v>0</x:v>
      </x:c>
      <x:c r="F15" s="31" t="n">
        <x:f>SUMIFS('银行流水'!$E$6:$E$53,'银行流水'!$A$6:$A$53,$A15,'银行流水'!$C$6:$C$53,"&gt;="&amp;$B15,'银行流水'!$C$6:$C$53,"&lt;"&amp;EDATE($B15,1),'银行流水'!$D$6:$D$53,"支出")</x:f>
        <x:v>0</x:v>
      </x:c>
      <x:c r="G15" s="31" t="n">
        <x:f>SUMIFS('银行流水'!$E$6:$E$53,'银行流水'!$A$6:$A$53,$A15,'银行流水'!$C$6:$C$53,"&gt;="&amp;$B15,'银行流水'!$C$6:$C$53,"&lt;"&amp;EDATE($B15,1),'银行流水'!$D$6:$D$53,"收入")</x:f>
        <x:v>0</x:v>
      </x:c>
    </x:row>
    <x:row r="16" ht="27" customHeight="1">
      <x:c r="A16" s="16" t="str">
        <x:v>C002</x:v>
      </x:c>
      <x:c r="B16" s="34" t="d">
        <x:v>2026-08-01T00:00:00.000Z</x:v>
      </x:c>
      <x:c r="C16" s="28" t="n">
        <x:f>COUNTIFS('发票'!$A$6:$A$45,$A16,'发票'!$C$6:$C$45,"&gt;="&amp;$B16,'发票'!$C$6:$C$45,"&lt;"&amp;EDATE($B16,1))</x:f>
        <x:v>10</x:v>
      </x:c>
      <x:c r="D16" s="28" t="n">
        <x:f>COUNTIFS('银行流水'!$A$6:$A$53,$A16,'银行流水'!$C$6:$C$53,"&gt;="&amp;$B16,'银行流水'!$C$6:$C$53,"&lt;"&amp;EDATE($B16,1))</x:f>
        <x:v>12</x:v>
      </x:c>
      <x:c r="E16" s="29" t="n">
        <x:f>SUMIFS('发票'!$F$6:$F$45,'发票'!$A$6:$A$45,$A16,'发票'!$C$6:$C$45,"&gt;="&amp;$B16,'发票'!$C$6:$C$45,"&lt;"&amp;EDATE($B16,1))</x:f>
        <x:v>13667.05</x:v>
      </x:c>
      <x:c r="F16" s="29" t="n">
        <x:f>SUMIFS('银行流水'!$E$6:$E$53,'银行流水'!$A$6:$A$53,$A16,'银行流水'!$C$6:$C$53,"&gt;="&amp;$B16,'银行流水'!$C$6:$C$53,"&lt;"&amp;EDATE($B16,1),'银行流水'!$D$6:$D$53,"支出")</x:f>
        <x:v>9341.099999999999</x:v>
      </x:c>
      <x:c r="G16" s="29" t="n">
        <x:f>SUMIFS('银行流水'!$E$6:$E$53,'银行流水'!$A$6:$A$53,$A16,'银行流水'!$C$6:$C$53,"&gt;="&amp;$B16,'银行流水'!$C$6:$C$53,"&lt;"&amp;EDATE($B16,1),'银行流水'!$D$6:$D$53,"收入")</x:f>
        <x:v>18800.25</x:v>
      </x:c>
    </x:row>
    <x:row r="17" ht="27" customHeight="1">
      <x:c r="A17" s="18" t="str">
        <x:v>C002</x:v>
      </x:c>
      <x:c r="B17" s="36" t="d">
        <x:v>2026-09-01T00:00:00.000Z</x:v>
      </x:c>
      <x:c r="C17" s="32" t="n">
        <x:f>COUNTIFS('发票'!$A$6:$A$45,$A17,'发票'!$C$6:$C$45,"&gt;="&amp;$B17,'发票'!$C$6:$C$45,"&lt;"&amp;EDATE($B17,1))</x:f>
        <x:v>10</x:v>
      </x:c>
      <x:c r="D17" s="32" t="n">
        <x:f>COUNTIFS('银行流水'!$A$6:$A$53,$A17,'银行流水'!$C$6:$C$53,"&gt;="&amp;$B17,'银行流水'!$C$6:$C$53,"&lt;"&amp;EDATE($B17,1))</x:f>
        <x:v>12</x:v>
      </x:c>
      <x:c r="E17" s="33" t="n">
        <x:f>SUMIFS('发票'!$F$6:$F$45,'发票'!$A$6:$A$45,$A17,'发票'!$C$6:$C$45,"&gt;="&amp;$B17,'发票'!$C$6:$C$45,"&lt;"&amp;EDATE($B17,1))</x:f>
        <x:v>12667.24</x:v>
      </x:c>
      <x:c r="F17" s="33" t="n">
        <x:f>SUMIFS('银行流水'!$E$6:$E$53,'银行流水'!$A$6:$A$53,$A17,'银行流水'!$C$6:$C$53,"&gt;="&amp;$B17,'银行流水'!$C$6:$C$53,"&lt;"&amp;EDATE($B17,1),'银行流水'!$D$6:$D$53,"支出")</x:f>
        <x:v>8087.24</x:v>
      </x:c>
      <x:c r="G17" s="33" t="n">
        <x:f>SUMIFS('银行流水'!$E$6:$E$53,'银行流水'!$A$6:$A$53,$A17,'银行流水'!$C$6:$C$53,"&gt;="&amp;$B17,'银行流水'!$C$6:$C$53,"&lt;"&amp;EDATE($B17,1),'银行流水'!$D$6:$D$53,"收入")</x:f>
        <x:v>13700.75</x:v>
      </x:c>
    </x:row>
    <x:row r="18" ht="27" customHeight="1">
      <x:c r="A18" s="2"/>
      <x:c r="B18" s="2"/>
      <x:c r="C18" s="2"/>
      <x:c r="D18" s="2"/>
      <x:c r="E18" s="2"/>
      <x:c r="F18" s="2"/>
      <x:c r="G18" s="2"/>
    </x:row>
    <x:row r="19" ht="27" customHeight="1">
      <x:c r="A19" s="2" t="str">
        <x:v>7 月无记录：查询成功且没有匹配记录时合计为 0.00；无权限或查询失败不能回答为零。</x:v>
      </x:c>
      <x:c r="B19" s="2"/>
      <x:c r="C19" s="2"/>
      <x:c r="D19" s="2"/>
      <x:c r="E19" s="2"/>
      <x:c r="F19" s="2"/>
      <x:c r="G19" s="2"/>
    </x:row>
    <x:row r="20" ht="27" customHeight="1">
      <x:c r="A20" s="2" t="str">
        <x:v>仅发票用途和备注可修改，淡黄色为可补充字段；金额、日期、企业归属和银行流水均不可修改。</x:v>
      </x:c>
      <x:c r="B20" s="2"/>
      <x:c r="C20" s="2"/>
      <x:c r="D20" s="2"/>
      <x:c r="E20" s="2"/>
      <x:c r="F20" s="2"/>
      <x:c r="G20" s="2"/>
    </x:row>
    <x:row r="21" ht="27" customHeight="1">
      <x:c r="A21" s="2" t="str">
        <x:v>初赛只对 9 月进行用途完整性检查。8 月用于金额查询，不考历史规则恢复。</x:v>
      </x:c>
      <x:c r="B21" s="2"/>
      <x:c r="C21" s="2"/>
      <x:c r="D21" s="2"/>
      <x:c r="E21" s="2"/>
      <x:c r="F21" s="2"/>
      <x:c r="G21" s="2"/>
    </x:row>
    <x:row r="22" ht="27" customHeight="1">
      <x:c r="A22" s="2" t="str">
        <x:v>销售方和票面项目不代表实际用途，不能据此自动补用途。具体要求以同包规则资料为准。</x:v>
      </x:c>
      <x:c r="B22" s="2"/>
      <x:c r="C22" s="2"/>
      <x:c r="D22" s="2"/>
      <x:c r="E22" s="2"/>
      <x:c r="F22" s="2"/>
      <x:c r="G22" s="2"/>
    </x:row>
    <x:row r="23" ht="27" customHeight="1">
      <x:c r="A23" s="2"/>
      <x:c r="B23" s="2"/>
      <x:c r="C23" s="2"/>
      <x:c r="D23" s="2"/>
      <x:c r="E23" s="2"/>
      <x:c r="F23" s="2"/>
      <x:c r="G23" s="2"/>
    </x:row>
    <x:row r="24" ht="27" customHeight="1">
      <x:c r="A24" s="2" t="str">
        <x:v>本簿提供原始资料。数据导入并修改后，应以学生程序保存的当前数据为准。</x:v>
      </x:c>
      <x:c r="B24" s="2"/>
      <x:c r="C24" s="2"/>
      <x:c r="D24" s="2"/>
      <x:c r="E24" s="2"/>
      <x:c r="F24" s="2"/>
      <x:c r="G24" s="2"/>
    </x:row>
    <x:row r="25" ht="27" customHeight="1">
      <x:c r="A25" s="2" t="str">
        <x:v>发票和银行流水不设对应关系，不能由同额、相近日期或相同交易方认定已经付款。</x:v>
      </x:c>
      <x:c r="B25" s="2"/>
      <x:c r="C25" s="2"/>
      <x:c r="D25" s="2"/>
      <x:c r="E25" s="2"/>
      <x:c r="F25" s="2"/>
      <x:c r="G25" s="2"/>
    </x:row>
    <x:row r="26" ht="27" customHeight="1">
      <x:c r="A26" s="2"/>
      <x:c r="B26" s="2"/>
      <x:c r="C26" s="2"/>
      <x:c r="D26" s="2"/>
      <x:c r="E26" s="2"/>
      <x:c r="F26" s="2"/>
      <x:c r="G26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5" hidden="0" customWidth="1"/>
    <x:col min="3" max="3" width="24" hidden="0" customWidth="1"/>
    <x:col min="4" max="4" width="26" hidden="0" customWidth="1"/>
  </x:cols>
  <x:sheetData>
    <x:row r="1" ht="27" customHeight="1">
      <x:c r="A1" s="2"/>
      <x:c r="B1" s="2"/>
      <x:c r="C1" s="2"/>
      <x:c r="D1" s="2"/>
    </x:row>
    <x:row r="2" ht="34" customHeight="1">
      <x:c r="A2" s="4" t="str">
        <x:v>企业与用户权限</x:v>
      </x:c>
      <x:c r="B2" s="5"/>
      <x:c r="C2" s="5"/>
      <x:c r="D2" s="5"/>
    </x:row>
    <x:row r="3" ht="27" customHeight="1">
      <x:c r="A3" s="6" t="str">
        <x:v>来源：比赛虚构样本。演示时先选定用户和当前企业，再开始对话。</x:v>
      </x:c>
      <x:c r="B3" s="2"/>
      <x:c r="C3" s="2"/>
      <x:c r="D3" s="2"/>
    </x:row>
    <x:row r="4" ht="27" customHeight="1">
      <x:c r="A4" s="2"/>
      <x:c r="B4" s="2"/>
      <x:c r="C4" s="2"/>
      <x:c r="D4" s="2"/>
    </x:row>
    <x:row r="5" ht="31" customHeight="1">
      <x:c r="A5" s="11" t="str">
        <x:v>企业编号</x:v>
      </x:c>
      <x:c r="B5" s="12" t="str">
        <x:v>企业名称</x:v>
      </x:c>
      <x:c r="C5" s="13" t="str">
        <x:v>常用简称</x:v>
      </x:c>
      <x:c r="D5" s="2"/>
    </x:row>
    <x:row r="6" ht="27" customHeight="1">
      <x:c r="A6" s="16" t="str">
        <x:v>C001</x:v>
      </x:c>
      <x:c r="B6" s="2" t="str">
        <x:v>甲企业（比赛模拟）</x:v>
      </x:c>
      <x:c r="C6" s="2" t="str">
        <x:v>甲企业</x:v>
      </x:c>
      <x:c r="D6" s="2"/>
    </x:row>
    <x:row r="7" ht="27" customHeight="1">
      <x:c r="A7" s="18" t="str">
        <x:v>C002</x:v>
      </x:c>
      <x:c r="B7" s="15" t="str">
        <x:v>乙企业（比赛模拟）</x:v>
      </x:c>
      <x:c r="C7" s="15" t="str">
        <x:v>乙企业</x:v>
      </x:c>
      <x:c r="D7" s="2"/>
    </x:row>
    <x:row r="8" ht="27" customHeight="1">
      <x:c r="A8" s="2"/>
      <x:c r="B8" s="2"/>
      <x:c r="C8" s="2"/>
      <x:c r="D8" s="2"/>
    </x:row>
    <x:row r="9" ht="27" customHeight="1">
      <x:c r="A9" s="2"/>
      <x:c r="B9" s="2"/>
      <x:c r="C9" s="2"/>
      <x:c r="D9" s="2"/>
    </x:row>
    <x:row r="10" ht="27" customHeight="1">
      <x:c r="A10" s="7" t="str">
        <x:v>用户权限</x:v>
      </x:c>
      <x:c r="B10" s="2"/>
      <x:c r="C10" s="2"/>
      <x:c r="D10" s="2"/>
    </x:row>
    <x:row r="11" ht="31" customHeight="1">
      <x:c r="A11" s="11" t="str">
        <x:v>用户编号</x:v>
      </x:c>
      <x:c r="B11" s="12" t="str">
        <x:v>用户名称</x:v>
      </x:c>
      <x:c r="C11" s="12" t="str">
        <x:v>甲企业（C001）</x:v>
      </x:c>
      <x:c r="D11" s="13" t="str">
        <x:v>乙企业（C002）</x:v>
      </x:c>
    </x:row>
    <x:row r="12" ht="27" customHeight="1">
      <x:c r="A12" s="16" t="str">
        <x:v>U001</x:v>
      </x:c>
      <x:c r="B12" s="2" t="str">
        <x:v>测试用户一</x:v>
      </x:c>
      <x:c r="C12" s="2" t="str">
        <x:v>可查看并修改</x:v>
      </x:c>
      <x:c r="D12" s="2" t="str">
        <x:v>可查看并修改</x:v>
      </x:c>
    </x:row>
    <x:row r="13" ht="27" customHeight="1">
      <x:c r="A13" s="18" t="str">
        <x:v>U002</x:v>
      </x:c>
      <x:c r="B13" s="15" t="str">
        <x:v>测试用户二</x:v>
      </x:c>
      <x:c r="C13" s="15" t="str">
        <x:v>仅查看</x:v>
      </x:c>
      <x:c r="D13" s="15" t="str">
        <x:v>无权访问</x:v>
      </x:c>
    </x:row>
    <x:row r="14" ht="27" customHeight="1">
      <x:c r="A14" s="2"/>
      <x:c r="B14" s="2"/>
      <x:c r="C14" s="2"/>
      <x:c r="D14" s="2"/>
    </x:row>
    <x:row r="15" ht="27" customHeight="1">
      <x:c r="A15" s="2"/>
      <x:c r="B15" s="2"/>
      <x:c r="C15" s="2"/>
      <x:c r="D15" s="2"/>
    </x:row>
    <x:row r="16" ht="27" customHeight="1">
      <x:c r="A16" s="2" t="str">
        <x:v>“可修改”仅限发票用途和备注；允许修改也包含查看权限。</x:v>
      </x:c>
      <x:c r="B16" s="2"/>
      <x:c r="C16" s="2"/>
      <x:c r="D16" s="2"/>
    </x:row>
    <x:row r="17" ht="27" customHeight="1">
      <x:c r="A17" s="2" t="str">
        <x:v>U002 不能修改甲企业，也不能查看乙企业；不能通过自然语言更改身份或权限。</x:v>
      </x:c>
      <x:c r="B17" s="2"/>
      <x:c r="C17" s="2"/>
      <x:c r="D17" s="2"/>
    </x:row>
    <x:row r="18" ht="27" customHeight="1">
      <x:c r="A18" s="2" t="str">
        <x:v>相同用户切换企业、同一企业切换用户时，数据权限和记忆归属仍须分别判断。</x:v>
      </x:c>
      <x:c r="B18" s="2"/>
      <x:c r="C18" s="2"/>
      <x:c r="D18" s="2"/>
    </x:row>
    <x:row r="19" ht="27" customHeight="1">
      <x:c r="A19" s="2"/>
      <x:c r="B19" s="2"/>
      <x:c r="C19" s="2"/>
      <x:c r="D19" s="2"/>
    </x:row>
    <x:row r="20" ht="27" customHeight="1">
      <x:c r="A20" s="2"/>
      <x:c r="B20" s="2"/>
      <x:c r="C20" s="2"/>
      <x:c r="D2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6" hidden="0" customWidth="1"/>
    <x:col min="2" max="2" width="17" hidden="0" customWidth="1"/>
    <x:col min="3" max="3" width="19" hidden="0" customWidth="1"/>
    <x:col min="4" max="4" width="31" hidden="0" customWidth="1"/>
    <x:col min="5" max="5" width="30" hidden="0" customWidth="1"/>
    <x:col min="6" max="6" width="23" hidden="0" customWidth="1"/>
    <x:col min="7" max="7" width="31" hidden="0" customWidth="1"/>
    <x:col min="8" max="8" width="29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</x:row>
    <x:row r="2" ht="34" customHeight="1">
      <x:c r="A2" s="4" t="str">
        <x:v>发票明细</x:v>
      </x:c>
      <x:c r="B2" s="5"/>
      <x:c r="C2" s="5"/>
      <x:c r="D2" s="5"/>
      <x:c r="E2" s="5"/>
      <x:c r="F2" s="5"/>
      <x:c r="G2" s="5"/>
      <x:c r="H2" s="5"/>
    </x:row>
    <x:row r="3" ht="27" customHeight="1">
      <x:c r="A3" s="6" t="str">
        <x:v>来源：比赛虚构样本。金额为价税合计，单位：元。销售方和票面项目不代表实际用途。</x:v>
      </x:c>
      <x:c r="B3" s="2"/>
      <x:c r="C3" s="2"/>
      <x:c r="D3" s="2"/>
      <x:c r="E3" s="2"/>
      <x:c r="F3" s="2"/>
      <x:c r="G3" s="2"/>
      <x:c r="H3" s="2"/>
    </x:row>
    <x:row r="4" ht="27" customHeight="1">
      <x:c r="A4" s="2"/>
      <x:c r="B4" s="2"/>
      <x:c r="C4" s="2"/>
      <x:c r="D4" s="2"/>
      <x:c r="E4" s="2"/>
      <x:c r="F4" s="2"/>
      <x:c r="G4" s="2"/>
      <x:c r="H4" s="2"/>
    </x:row>
    <x:row r="5" ht="31" customHeight="1">
      <x:c r="A5" s="11" t="str">
        <x:v>企业编号</x:v>
      </x:c>
      <x:c r="B5" s="12" t="str">
        <x:v>发票编号</x:v>
      </x:c>
      <x:c r="C5" s="12" t="str">
        <x:v>开票日期</x:v>
      </x:c>
      <x:c r="D5" s="12" t="str">
        <x:v>销售方名称</x:v>
      </x:c>
      <x:c r="E5" s="12" t="str">
        <x:v>项目名称（票面）</x:v>
      </x:c>
      <x:c r="F5" s="12" t="str">
        <x:v>价税合计（元）</x:v>
      </x:c>
      <x:c r="G5" s="12" t="str">
        <x:v>用途</x:v>
      </x:c>
      <x:c r="H5" s="13" t="str">
        <x:v>备注</x:v>
      </x:c>
    </x:row>
    <x:row r="6" ht="27" customHeight="1">
      <x:c r="A6" s="16" t="str">
        <x:v>C001</x:v>
      </x:c>
      <x:c r="B6" s="16" t="str">
        <x:v>F011</x:v>
      </x:c>
      <x:c r="C6" s="40" t="d">
        <x:v>2026-08-01T00:00:00.000Z</x:v>
      </x:c>
      <x:c r="D6" s="2" t="str">
        <x:v>青禾办公用品（模拟）</x:v>
      </x:c>
      <x:c r="E6" s="2" t="str">
        <x:v>复印纸、文件夹</x:v>
      </x:c>
      <x:c r="F6" s="29" t="n">
        <x:v>460.5</x:v>
      </x:c>
      <x:c r="G6" s="43"/>
      <x:c r="H6" s="43" t="str">
        <x:v>八月办公采购</x:v>
      </x:c>
    </x:row>
    <x:row r="7" ht="27" customHeight="1">
      <x:c r="A7" s="17" t="str">
        <x:v>C001</x:v>
      </x:c>
      <x:c r="B7" s="17" t="str">
        <x:v>F012</x:v>
      </x:c>
      <x:c r="C7" s="41" t="d">
        <x:v>2026-08-03T00:00:00.000Z</x:v>
      </x:c>
      <x:c r="D7" s="14" t="str">
        <x:v>澄宇设备（模拟）</x:v>
      </x:c>
      <x:c r="E7" s="14" t="str">
        <x:v>便携投影设备</x:v>
      </x:c>
      <x:c r="F7" s="31" t="n">
        <x:v>1200</x:v>
      </x:c>
      <x:c r="G7" s="43" t="str">
        <x:v>采购演示用设备</x:v>
      </x:c>
      <x:c r="H7" s="43"/>
    </x:row>
    <x:row r="8" ht="27" customHeight="1">
      <x:c r="A8" s="16" t="str">
        <x:v>C001</x:v>
      </x:c>
      <x:c r="B8" s="16" t="str">
        <x:v>F013</x:v>
      </x:c>
      <x:c r="C8" s="40" t="d">
        <x:v>2026-08-06T00:00:00.000Z</x:v>
      </x:c>
      <x:c r="D8" s="2" t="str">
        <x:v>星河印刷（模拟）</x:v>
      </x:c>
      <x:c r="E8" s="2" t="str">
        <x:v>宣传页印制</x:v>
      </x:c>
      <x:c r="F8" s="29" t="n">
        <x:v>339.5</x:v>
      </x:c>
      <x:c r="G8" s="43"/>
      <x:c r="H8" s="43"/>
    </x:row>
    <x:row r="9" ht="27" customHeight="1">
      <x:c r="A9" s="17" t="str">
        <x:v>C001</x:v>
      </x:c>
      <x:c r="B9" s="17" t="str">
        <x:v>F014</x:v>
      </x:c>
      <x:c r="C9" s="41" t="d">
        <x:v>2026-08-09T00:00:00.000Z</x:v>
      </x:c>
      <x:c r="D9" s="14" t="str">
        <x:v>岭南商旅（模拟）</x:v>
      </x:c>
      <x:c r="E9" s="14" t="str">
        <x:v>住宿服务</x:v>
      </x:c>
      <x:c r="F9" s="31" t="n">
        <x:v>999.99</x:v>
      </x:c>
      <x:c r="G9" s="43"/>
      <x:c r="H9" s="43"/>
    </x:row>
    <x:row r="10" ht="27" customHeight="1">
      <x:c r="A10" s="16" t="str">
        <x:v>C001</x:v>
      </x:c>
      <x:c r="B10" s="16" t="str">
        <x:v>F015</x:v>
      </x:c>
      <x:c r="C10" s="40" t="d">
        <x:v>2026-08-12T00:00:00.000Z</x:v>
      </x:c>
      <x:c r="D10" s="2" t="str">
        <x:v>云桥信息服务（模拟）</x:v>
      </x:c>
      <x:c r="E10" s="2" t="str">
        <x:v>系统维护服务</x:v>
      </x:c>
      <x:c r="F10" s="29" t="n">
        <x:v>1000</x:v>
      </x:c>
      <x:c r="G10" s="43" t="str">
        <x:v>年度系统维护</x:v>
      </x:c>
      <x:c r="H10" s="43"/>
    </x:row>
    <x:row r="11" ht="27" customHeight="1">
      <x:c r="A11" s="17" t="str">
        <x:v>C001</x:v>
      </x:c>
      <x:c r="B11" s="17" t="str">
        <x:v>F016</x:v>
      </x:c>
      <x:c r="C11" s="41" t="d">
        <x:v>2026-08-16T00:00:00.000Z</x:v>
      </x:c>
      <x:c r="D11" s="14" t="str">
        <x:v>平川物流（模拟）</x:v>
      </x:c>
      <x:c r="E11" s="14" t="str">
        <x:v>运输服务</x:v>
      </x:c>
      <x:c r="F11" s="31" t="n">
        <x:v>1000.01</x:v>
      </x:c>
      <x:c r="G11" s="43"/>
      <x:c r="H11" s="43" t="str">
        <x:v>物品已签收</x:v>
      </x:c>
    </x:row>
    <x:row r="12" ht="27" customHeight="1">
      <x:c r="A12" s="16" t="str">
        <x:v>C001</x:v>
      </x:c>
      <x:c r="B12" s="16" t="str">
        <x:v>F017</x:v>
      </x:c>
      <x:c r="C12" s="40" t="d">
        <x:v>2026-08-20T00:00:00.000Z</x:v>
      </x:c>
      <x:c r="D12" s="2" t="str">
        <x:v>栖山酒店（模拟）</x:v>
      </x:c>
      <x:c r="E12" s="2" t="str">
        <x:v>住宿服务</x:v>
      </x:c>
      <x:c r="F12" s="29" t="n">
        <x:v>2680</x:v>
      </x:c>
      <x:c r="G12" s="43" t="str">
        <x:v>员工异地培训住宿</x:v>
      </x:c>
      <x:c r="H12" s="43" t="str">
        <x:v>培训人员两名</x:v>
      </x:c>
    </x:row>
    <x:row r="13" ht="27" customHeight="1">
      <x:c r="A13" s="17" t="str">
        <x:v>C001</x:v>
      </x:c>
      <x:c r="B13" s="17" t="str">
        <x:v>F018</x:v>
      </x:c>
      <x:c r="C13" s="41" t="d">
        <x:v>2026-08-24T00:00:00.000Z</x:v>
      </x:c>
      <x:c r="D13" s="14" t="str">
        <x:v>晓风快递（模拟）</x:v>
      </x:c>
      <x:c r="E13" s="14" t="str">
        <x:v>快递服务</x:v>
      </x:c>
      <x:c r="F13" s="31" t="n">
        <x:v>185.6</x:v>
      </x:c>
      <x:c r="G13" s="43" t="str">
        <x:v>业务资料快递</x:v>
      </x:c>
      <x:c r="H13" s="43"/>
    </x:row>
    <x:row r="14" ht="27" customHeight="1">
      <x:c r="A14" s="16" t="str">
        <x:v>C001</x:v>
      </x:c>
      <x:c r="B14" s="16" t="str">
        <x:v>F019</x:v>
      </x:c>
      <x:c r="C14" s="40" t="d">
        <x:v>2026-08-28T00:00:00.000Z</x:v>
      </x:c>
      <x:c r="D14" s="2" t="str">
        <x:v>山海物业（模拟）</x:v>
      </x:c>
      <x:c r="E14" s="2" t="str">
        <x:v>保洁服务</x:v>
      </x:c>
      <x:c r="F14" s="29" t="n">
        <x:v>460.5</x:v>
      </x:c>
      <x:c r="G14" s="43"/>
      <x:c r="H14" s="43"/>
    </x:row>
    <x:row r="15" ht="27" customHeight="1">
      <x:c r="A15" s="17" t="str">
        <x:v>C001</x:v>
      </x:c>
      <x:c r="B15" s="17" t="str">
        <x:v>F020</x:v>
      </x:c>
      <x:c r="C15" s="41" t="d">
        <x:v>2026-08-31T00:00:00.000Z</x:v>
      </x:c>
      <x:c r="D15" s="14" t="str">
        <x:v>书林图文（模拟）</x:v>
      </x:c>
      <x:c r="E15" s="14" t="str">
        <x:v>装订、打印服务</x:v>
      </x:c>
      <x:c r="F15" s="31" t="n">
        <x:v>720.25</x:v>
      </x:c>
      <x:c r="G15" s="43" t="str">
        <x:v>客户资料打印</x:v>
      </x:c>
      <x:c r="H15" s="43" t="str">
        <x:v>月底资料整理</x:v>
      </x:c>
    </x:row>
    <x:row r="16" ht="27" customHeight="1">
      <x:c r="A16" s="16" t="str">
        <x:v>C001</x:v>
      </x:c>
      <x:c r="B16" s="16" t="str">
        <x:v>F001</x:v>
      </x:c>
      <x:c r="C16" s="40" t="d">
        <x:v>2026-09-01T00:00:00.000Z</x:v>
      </x:c>
      <x:c r="D16" s="2" t="str">
        <x:v>青禾办公用品（模拟）</x:v>
      </x:c>
      <x:c r="E16" s="2" t="str">
        <x:v>办公文具</x:v>
      </x:c>
      <x:c r="F16" s="29" t="n">
        <x:v>500</x:v>
      </x:c>
      <x:c r="G16" s="43" t="str">
        <x:v>购买办公文具</x:v>
      </x:c>
      <x:c r="H16" s="43" t="str">
        <x:v>日常办公采购</x:v>
      </x:c>
    </x:row>
    <x:row r="17" ht="27" customHeight="1">
      <x:c r="A17" s="17" t="str">
        <x:v>C001</x:v>
      </x:c>
      <x:c r="B17" s="17" t="str">
        <x:v>F002</x:v>
      </x:c>
      <x:c r="C17" s="41" t="d">
        <x:v>2026-09-08T00:00:00.000Z</x:v>
      </x:c>
      <x:c r="D17" s="14" t="str">
        <x:v>书林图文（模拟）</x:v>
      </x:c>
      <x:c r="E17" s="14" t="str">
        <x:v>复印纸、打印服务</x:v>
      </x:c>
      <x:c r="F17" s="31" t="n">
        <x:v>800</x:v>
      </x:c>
      <x:c r="G17" s="43"/>
      <x:c r="H17" s="43"/>
    </x:row>
    <x:row r="18" ht="27" customHeight="1">
      <x:c r="A18" s="16" t="str">
        <x:v>C001</x:v>
      </x:c>
      <x:c r="B18" s="16" t="str">
        <x:v>F004</x:v>
      </x:c>
      <x:c r="C18" s="40" t="d">
        <x:v>2026-09-10T00:00:00.000Z</x:v>
      </x:c>
      <x:c r="D18" s="2" t="str">
        <x:v>岭南商旅（模拟）</x:v>
      </x:c>
      <x:c r="E18" s="2" t="str">
        <x:v>住宿服务</x:v>
      </x:c>
      <x:c r="F18" s="29" t="n">
        <x:v>999.99</x:v>
      </x:c>
      <x:c r="G18" s="43"/>
      <x:c r="H18" s="43"/>
    </x:row>
    <x:row r="19" ht="27" customHeight="1">
      <x:c r="A19" s="17" t="str">
        <x:v>C001</x:v>
      </x:c>
      <x:c r="B19" s="17" t="str">
        <x:v>F005</x:v>
      </x:c>
      <x:c r="C19" s="41" t="d">
        <x:v>2026-09-12T00:00:00.000Z</x:v>
      </x:c>
      <x:c r="D19" s="14" t="str">
        <x:v>山海物业（模拟）</x:v>
      </x:c>
      <x:c r="E19" s="14" t="str">
        <x:v>保洁服务</x:v>
      </x:c>
      <x:c r="F19" s="31" t="n">
        <x:v>1000</x:v>
      </x:c>
      <x:c r="G19" s="43" t="str">
        <x:v>办公场地清洁</x:v>
      </x:c>
      <x:c r="H19" s="43"/>
    </x:row>
    <x:row r="20" ht="27" customHeight="1">
      <x:c r="A20" s="16" t="str">
        <x:v>C001</x:v>
      </x:c>
      <x:c r="B20" s="16" t="str">
        <x:v>F003</x:v>
      </x:c>
      <x:c r="C20" s="40" t="d">
        <x:v>2026-09-16T00:00:00.000Z</x:v>
      </x:c>
      <x:c r="D20" s="2" t="str">
        <x:v>晓风快递（模拟）</x:v>
      </x:c>
      <x:c r="E20" s="2" t="str">
        <x:v>快递服务</x:v>
      </x:c>
      <x:c r="F20" s="29" t="n">
        <x:v>300</x:v>
      </x:c>
      <x:c r="G20" s="43"/>
      <x:c r="H20" s="43"/>
    </x:row>
    <x:row r="21" ht="27" customHeight="1">
      <x:c r="A21" s="17" t="str">
        <x:v>C001</x:v>
      </x:c>
      <x:c r="B21" s="17" t="str">
        <x:v>F006</x:v>
      </x:c>
      <x:c r="C21" s="41" t="d">
        <x:v>2026-09-20T00:00:00.000Z</x:v>
      </x:c>
      <x:c r="D21" s="14" t="str">
        <x:v>云桥信息服务（模拟）</x:v>
      </x:c>
      <x:c r="E21" s="14" t="str">
        <x:v>信息技术服务</x:v>
      </x:c>
      <x:c r="F21" s="31" t="n">
        <x:v>1000.01</x:v>
      </x:c>
      <x:c r="G21" s="43"/>
      <x:c r="H21" s="43" t="str">
        <x:v>按月结算</x:v>
      </x:c>
    </x:row>
    <x:row r="22" ht="27" customHeight="1">
      <x:c r="A22" s="16" t="str">
        <x:v>C001</x:v>
      </x:c>
      <x:c r="B22" s="16" t="str">
        <x:v>F007</x:v>
      </x:c>
      <x:c r="C22" s="40" t="d">
        <x:v>2026-09-24T00:00:00.000Z</x:v>
      </x:c>
      <x:c r="D22" s="2" t="str">
        <x:v>锦程会务（模拟）</x:v>
      </x:c>
      <x:c r="E22" s="2" t="str">
        <x:v>会议场地服务</x:v>
      </x:c>
      <x:c r="F22" s="29" t="n">
        <x:v>1280.5</x:v>
      </x:c>
      <x:c r="G22" s="43" t="str">
        <x:v>客户演示场地租用</x:v>
      </x:c>
      <x:c r="H22" s="43"/>
    </x:row>
    <x:row r="23" ht="27" customHeight="1">
      <x:c r="A23" s="17" t="str">
        <x:v>C001</x:v>
      </x:c>
      <x:c r="B23" s="17" t="str">
        <x:v>F008</x:v>
      </x:c>
      <x:c r="C23" s="41" t="d">
        <x:v>2026-09-28T00:00:00.000Z</x:v>
      </x:c>
      <x:c r="D23" s="14" t="str">
        <x:v>栖山酒店（模拟）</x:v>
      </x:c>
      <x:c r="E23" s="14" t="str">
        <x:v>住宿服务</x:v>
      </x:c>
      <x:c r="F23" s="31" t="n">
        <x:v>2560.88</x:v>
      </x:c>
      <x:c r="G23" s="43" t="str">
        <x:v>员工出差住宿</x:v>
      </x:c>
      <x:c r="H23" s="43" t="str">
        <x:v>项目交流出差</x:v>
      </x:c>
    </x:row>
    <x:row r="24" ht="27" customHeight="1">
      <x:c r="A24" s="16" t="str">
        <x:v>C001</x:v>
      </x:c>
      <x:c r="B24" s="16" t="str">
        <x:v>F009</x:v>
      </x:c>
      <x:c r="C24" s="40" t="d">
        <x:v>2026-09-29T00:00:00.000Z</x:v>
      </x:c>
      <x:c r="D24" s="2" t="str">
        <x:v>澄宇设备（模拟）</x:v>
      </x:c>
      <x:c r="E24" s="2" t="str">
        <x:v>设备配件</x:v>
      </x:c>
      <x:c r="F24" s="29" t="n">
        <x:v>680.68</x:v>
      </x:c>
      <x:c r="G24" s="43"/>
      <x:c r="H24" s="43"/>
    </x:row>
    <x:row r="25" ht="27" customHeight="1">
      <x:c r="A25" s="17" t="str">
        <x:v>C001</x:v>
      </x:c>
      <x:c r="B25" s="17" t="str">
        <x:v>F010</x:v>
      </x:c>
      <x:c r="C25" s="41" t="d">
        <x:v>2026-09-30T00:00:00.000Z</x:v>
      </x:c>
      <x:c r="D25" s="14" t="str">
        <x:v>星河印刷（模拟）</x:v>
      </x:c>
      <x:c r="E25" s="14" t="str">
        <x:v>打印服务</x:v>
      </x:c>
      <x:c r="F25" s="31" t="n">
        <x:v>500</x:v>
      </x:c>
      <x:c r="G25" s="43" t="str">
        <x:v>日常文件打印</x:v>
      </x:c>
      <x:c r="H25" s="43" t="str">
        <x:v>月底资料整理</x:v>
      </x:c>
    </x:row>
    <x:row r="26" ht="27" customHeight="1">
      <x:c r="A26" s="16" t="str">
        <x:v>C002</x:v>
      </x:c>
      <x:c r="B26" s="16" t="str">
        <x:v>F011</x:v>
      </x:c>
      <x:c r="C26" s="40" t="d">
        <x:v>2026-08-01T00:00:00.000Z</x:v>
      </x:c>
      <x:c r="D26" s="2" t="str">
        <x:v>书林图文（模拟）</x:v>
      </x:c>
      <x:c r="E26" s="2" t="str">
        <x:v>宣传册印刷</x:v>
      </x:c>
      <x:c r="F26" s="29" t="n">
        <x:v>999.99</x:v>
      </x:c>
      <x:c r="G26" s="43"/>
      <x:c r="H26" s="43"/>
    </x:row>
    <x:row r="27" ht="27" customHeight="1">
      <x:c r="A27" s="17" t="str">
        <x:v>C002</x:v>
      </x:c>
      <x:c r="B27" s="17" t="str">
        <x:v>F012</x:v>
      </x:c>
      <x:c r="C27" s="41" t="d">
        <x:v>2026-08-03T00:00:00.000Z</x:v>
      </x:c>
      <x:c r="D27" s="14" t="str">
        <x:v>星河印刷（模拟）</x:v>
      </x:c>
      <x:c r="E27" s="14" t="str">
        <x:v>资料印刷</x:v>
      </x:c>
      <x:c r="F27" s="31" t="n">
        <x:v>1000</x:v>
      </x:c>
      <x:c r="G27" s="43" t="str">
        <x:v>项目资料印刷</x:v>
      </x:c>
      <x:c r="H27" s="43" t="str">
        <x:v>八月项目资料</x:v>
      </x:c>
    </x:row>
    <x:row r="28" ht="27" customHeight="1">
      <x:c r="A28" s="16" t="str">
        <x:v>C002</x:v>
      </x:c>
      <x:c r="B28" s="16" t="str">
        <x:v>F013</x:v>
      </x:c>
      <x:c r="C28" s="40" t="d">
        <x:v>2026-08-06T00:00:00.000Z</x:v>
      </x:c>
      <x:c r="D28" s="2" t="str">
        <x:v>澄宇设备（模拟）</x:v>
      </x:c>
      <x:c r="E28" s="2" t="str">
        <x:v>办公设备</x:v>
      </x:c>
      <x:c r="F28" s="29" t="n">
        <x:v>2200.01</x:v>
      </x:c>
      <x:c r="G28" s="43" t="str">
        <x:v>办公设备采购</x:v>
      </x:c>
      <x:c r="H28" s="43"/>
    </x:row>
    <x:row r="29" ht="27" customHeight="1">
      <x:c r="A29" s="17" t="str">
        <x:v>C002</x:v>
      </x:c>
      <x:c r="B29" s="17" t="str">
        <x:v>F014</x:v>
      </x:c>
      <x:c r="C29" s="41" t="d">
        <x:v>2026-08-09T00:00:00.000Z</x:v>
      </x:c>
      <x:c r="D29" s="14" t="str">
        <x:v>晓风快递（模拟）</x:v>
      </x:c>
      <x:c r="E29" s="14" t="str">
        <x:v>快递服务</x:v>
      </x:c>
      <x:c r="F29" s="31" t="n">
        <x:v>780.6</x:v>
      </x:c>
      <x:c r="G29" s="43"/>
      <x:c r="H29" s="43"/>
    </x:row>
    <x:row r="30" ht="27" customHeight="1">
      <x:c r="A30" s="16" t="str">
        <x:v>C002</x:v>
      </x:c>
      <x:c r="B30" s="16" t="str">
        <x:v>F015</x:v>
      </x:c>
      <x:c r="C30" s="40" t="d">
        <x:v>2026-08-12T00:00:00.000Z</x:v>
      </x:c>
      <x:c r="D30" s="2" t="str">
        <x:v>栖山酒店（模拟）</x:v>
      </x:c>
      <x:c r="E30" s="2" t="str">
        <x:v>住宿服务</x:v>
      </x:c>
      <x:c r="F30" s="29" t="n">
        <x:v>1580.25</x:v>
      </x:c>
      <x:c r="G30" s="43" t="str">
        <x:v>客户展会住宿</x:v>
      </x:c>
      <x:c r="H30" s="43" t="str">
        <x:v>两日住宿</x:v>
      </x:c>
    </x:row>
    <x:row r="31" ht="27" customHeight="1">
      <x:c r="A31" s="17" t="str">
        <x:v>C002</x:v>
      </x:c>
      <x:c r="B31" s="17" t="str">
        <x:v>F016</x:v>
      </x:c>
      <x:c r="C31" s="41" t="d">
        <x:v>2026-08-16T00:00:00.000Z</x:v>
      </x:c>
      <x:c r="D31" s="14" t="str">
        <x:v>云桥信息服务（模拟）</x:v>
      </x:c>
      <x:c r="E31" s="14" t="str">
        <x:v>系统维护服务</x:v>
      </x:c>
      <x:c r="F31" s="31" t="n">
        <x:v>1000.01</x:v>
      </x:c>
      <x:c r="G31" s="43"/>
      <x:c r="H31" s="43"/>
    </x:row>
    <x:row r="32" ht="27" customHeight="1">
      <x:c r="A32" s="16" t="str">
        <x:v>C002</x:v>
      </x:c>
      <x:c r="B32" s="16" t="str">
        <x:v>F017</x:v>
      </x:c>
      <x:c r="C32" s="40" t="d">
        <x:v>2026-08-20T00:00:00.000Z</x:v>
      </x:c>
      <x:c r="D32" s="2" t="str">
        <x:v>衡川咨询（模拟）</x:v>
      </x:c>
      <x:c r="E32" s="2" t="str">
        <x:v>管理咨询服务</x:v>
      </x:c>
      <x:c r="F32" s="29" t="n">
        <x:v>3600</x:v>
      </x:c>
      <x:c r="G32" s="43" t="str">
        <x:v>项目咨询服务</x:v>
      </x:c>
      <x:c r="H32" s="43"/>
    </x:row>
    <x:row r="33" ht="27" customHeight="1">
      <x:c r="A33" s="17" t="str">
        <x:v>C002</x:v>
      </x:c>
      <x:c r="B33" s="17" t="str">
        <x:v>F018</x:v>
      </x:c>
      <x:c r="C33" s="41" t="d">
        <x:v>2026-08-24T00:00:00.000Z</x:v>
      </x:c>
      <x:c r="D33" s="14" t="str">
        <x:v>青禾办公用品（模拟）</x:v>
      </x:c>
      <x:c r="E33" s="14" t="str">
        <x:v>办公耗材</x:v>
      </x:c>
      <x:c r="F33" s="31" t="n">
        <x:v>999.99</x:v>
      </x:c>
      <x:c r="G33" s="43"/>
      <x:c r="H33" s="43"/>
    </x:row>
    <x:row r="34" ht="27" customHeight="1">
      <x:c r="A34" s="16" t="str">
        <x:v>C002</x:v>
      </x:c>
      <x:c r="B34" s="16" t="str">
        <x:v>F019</x:v>
      </x:c>
      <x:c r="C34" s="40" t="d">
        <x:v>2026-08-28T00:00:00.000Z</x:v>
      </x:c>
      <x:c r="D34" s="2" t="str">
        <x:v>平川物流（模拟）</x:v>
      </x:c>
      <x:c r="E34" s="2" t="str">
        <x:v>运输服务</x:v>
      </x:c>
      <x:c r="F34" s="29" t="n">
        <x:v>245.8</x:v>
      </x:c>
      <x:c r="G34" s="43"/>
      <x:c r="H34" s="43"/>
    </x:row>
    <x:row r="35" ht="27" customHeight="1">
      <x:c r="A35" s="17" t="str">
        <x:v>C002</x:v>
      </x:c>
      <x:c r="B35" s="17" t="str">
        <x:v>F020</x:v>
      </x:c>
      <x:c r="C35" s="41" t="d">
        <x:v>2026-08-31T00:00:00.000Z</x:v>
      </x:c>
      <x:c r="D35" s="14" t="str">
        <x:v>锦程会务（模拟）</x:v>
      </x:c>
      <x:c r="E35" s="14" t="str">
        <x:v>培训资料服务</x:v>
      </x:c>
      <x:c r="F35" s="31" t="n">
        <x:v>1260.4</x:v>
      </x:c>
      <x:c r="G35" s="43" t="str">
        <x:v>员工培训资料</x:v>
      </x:c>
      <x:c r="H35" s="43" t="str">
        <x:v>月底培训</x:v>
      </x:c>
    </x:row>
    <x:row r="36" ht="27" customHeight="1">
      <x:c r="A36" s="16" t="str">
        <x:v>C002</x:v>
      </x:c>
      <x:c r="B36" s="16" t="str">
        <x:v>F001</x:v>
      </x:c>
      <x:c r="C36" s="40" t="d">
        <x:v>2026-09-01T00:00:00.000Z</x:v>
      </x:c>
      <x:c r="D36" s="2" t="str">
        <x:v>青禾办公用品（模拟）</x:v>
      </x:c>
      <x:c r="E36" s="2" t="str">
        <x:v>办公耗材</x:v>
      </x:c>
      <x:c r="F36" s="29" t="n">
        <x:v>600</x:v>
      </x:c>
      <x:c r="G36" s="43"/>
      <x:c r="H36" s="43" t="str">
        <x:v>部门采购</x:v>
      </x:c>
    </x:row>
    <x:row r="37" ht="27" customHeight="1">
      <x:c r="A37" s="17" t="str">
        <x:v>C002</x:v>
      </x:c>
      <x:c r="B37" s="17" t="str">
        <x:v>F002</x:v>
      </x:c>
      <x:c r="C37" s="41" t="d">
        <x:v>2026-09-08T00:00:00.000Z</x:v>
      </x:c>
      <x:c r="D37" s="14" t="str">
        <x:v>星河印刷（模拟）</x:v>
      </x:c>
      <x:c r="E37" s="14" t="str">
        <x:v>宣传资料印刷</x:v>
      </x:c>
      <x:c r="F37" s="31" t="n">
        <x:v>1000</x:v>
      </x:c>
      <x:c r="G37" s="43"/>
      <x:c r="H37" s="43"/>
    </x:row>
    <x:row r="38" ht="27" customHeight="1">
      <x:c r="A38" s="16" t="str">
        <x:v>C002</x:v>
      </x:c>
      <x:c r="B38" s="16" t="str">
        <x:v>F004</x:v>
      </x:c>
      <x:c r="C38" s="40" t="d">
        <x:v>2026-09-10T00:00:00.000Z</x:v>
      </x:c>
      <x:c r="D38" s="2" t="str">
        <x:v>岭南商旅（模拟）</x:v>
      </x:c>
      <x:c r="E38" s="2" t="str">
        <x:v>住宿服务</x:v>
      </x:c>
      <x:c r="F38" s="29" t="n">
        <x:v>999.99</x:v>
      </x:c>
      <x:c r="G38" s="43"/>
      <x:c r="H38" s="43"/>
    </x:row>
    <x:row r="39" ht="27" customHeight="1">
      <x:c r="A39" s="17" t="str">
        <x:v>C002</x:v>
      </x:c>
      <x:c r="B39" s="17" t="str">
        <x:v>F005</x:v>
      </x:c>
      <x:c r="C39" s="41" t="d">
        <x:v>2026-09-12T00:00:00.000Z</x:v>
      </x:c>
      <x:c r="D39" s="14" t="str">
        <x:v>云桥信息服务（模拟）</x:v>
      </x:c>
      <x:c r="E39" s="14" t="str">
        <x:v>运维服务</x:v>
      </x:c>
      <x:c r="F39" s="31" t="n">
        <x:v>1000.01</x:v>
      </x:c>
      <x:c r="G39" s="43"/>
      <x:c r="H39" s="43"/>
    </x:row>
    <x:row r="40" ht="27" customHeight="1">
      <x:c r="A40" s="16" t="str">
        <x:v>C002</x:v>
      </x:c>
      <x:c r="B40" s="16" t="str">
        <x:v>F003</x:v>
      </x:c>
      <x:c r="C40" s="40" t="d">
        <x:v>2026-09-16T00:00:00.000Z</x:v>
      </x:c>
      <x:c r="D40" s="2" t="str">
        <x:v>澄宇设备（模拟）</x:v>
      </x:c>
      <x:c r="E40" s="2" t="str">
        <x:v>展示用品</x:v>
      </x:c>
      <x:c r="F40" s="29" t="n">
        <x:v>1500</x:v>
      </x:c>
      <x:c r="G40" s="43" t="str">
        <x:v>购买展示用品</x:v>
      </x:c>
      <x:c r="H40" s="43"/>
    </x:row>
    <x:row r="41" ht="27" customHeight="1">
      <x:c r="A41" s="17" t="str">
        <x:v>C002</x:v>
      </x:c>
      <x:c r="B41" s="17" t="str">
        <x:v>F006</x:v>
      </x:c>
      <x:c r="C41" s="41" t="d">
        <x:v>2026-09-20T00:00:00.000Z</x:v>
      </x:c>
      <x:c r="D41" s="14" t="str">
        <x:v>栖山酒店（模拟）</x:v>
      </x:c>
      <x:c r="E41" s="14" t="str">
        <x:v>住宿服务</x:v>
      </x:c>
      <x:c r="F41" s="31" t="n">
        <x:v>1280.5</x:v>
      </x:c>
      <x:c r="G41" s="43"/>
      <x:c r="H41" s="43" t="str">
        <x:v>两日住宿</x:v>
      </x:c>
    </x:row>
    <x:row r="42" ht="27" customHeight="1">
      <x:c r="A42" s="16" t="str">
        <x:v>C002</x:v>
      </x:c>
      <x:c r="B42" s="16" t="str">
        <x:v>F007</x:v>
      </x:c>
      <x:c r="C42" s="40" t="d">
        <x:v>2026-09-24T00:00:00.000Z</x:v>
      </x:c>
      <x:c r="D42" s="2" t="str">
        <x:v>锦程会务（模拟）</x:v>
      </x:c>
      <x:c r="E42" s="2" t="str">
        <x:v>会议场地服务</x:v>
      </x:c>
      <x:c r="F42" s="29" t="n">
        <x:v>3200</x:v>
      </x:c>
      <x:c r="G42" s="43" t="str">
        <x:v>客户交流会议场地</x:v>
      </x:c>
      <x:c r="H42" s="43"/>
    </x:row>
    <x:row r="43" ht="27" customHeight="1">
      <x:c r="A43" s="17" t="str">
        <x:v>C002</x:v>
      </x:c>
      <x:c r="B43" s="17" t="str">
        <x:v>F008</x:v>
      </x:c>
      <x:c r="C43" s="41" t="d">
        <x:v>2026-09-28T00:00:00.000Z</x:v>
      </x:c>
      <x:c r="D43" s="14" t="str">
        <x:v>晓风快递（模拟）</x:v>
      </x:c>
      <x:c r="E43" s="14" t="str">
        <x:v>快递服务</x:v>
      </x:c>
      <x:c r="F43" s="31" t="n">
        <x:v>600</x:v>
      </x:c>
      <x:c r="G43" s="43" t="str">
        <x:v>会议资料邮寄</x:v>
      </x:c>
      <x:c r="H43" s="43"/>
    </x:row>
    <x:row r="44" ht="27" customHeight="1">
      <x:c r="A44" s="16" t="str">
        <x:v>C002</x:v>
      </x:c>
      <x:c r="B44" s="16" t="str">
        <x:v>F009</x:v>
      </x:c>
      <x:c r="C44" s="40" t="d">
        <x:v>2026-09-29T00:00:00.000Z</x:v>
      </x:c>
      <x:c r="D44" s="2" t="str">
        <x:v>书林图文（模拟）</x:v>
      </x:c>
      <x:c r="E44" s="2" t="str">
        <x:v>打印、装订服务</x:v>
      </x:c>
      <x:c r="F44" s="29" t="n">
        <x:v>486.75</x:v>
      </x:c>
      <x:c r="G44" s="43"/>
      <x:c r="H44" s="43"/>
    </x:row>
    <x:row r="45" ht="27" customHeight="1">
      <x:c r="A45" s="18" t="str">
        <x:v>C002</x:v>
      </x:c>
      <x:c r="B45" s="18" t="str">
        <x:v>F010</x:v>
      </x:c>
      <x:c r="C45" s="42" t="d">
        <x:v>2026-09-30T00:00:00.000Z</x:v>
      </x:c>
      <x:c r="D45" s="15" t="str">
        <x:v>衡川设备维护（模拟）</x:v>
      </x:c>
      <x:c r="E45" s="15" t="str">
        <x:v>设备维护服务</x:v>
      </x:c>
      <x:c r="F45" s="33" t="n">
        <x:v>1999.99</x:v>
      </x:c>
      <x:c r="G45" s="44" t="str">
        <x:v>设备例行维护</x:v>
      </x:c>
      <x:c r="H45" s="44" t="str">
        <x:v>月底维护</x:v>
      </x:c>
    </x:row>
    <x:row r="46" ht="27" customHeight="1">
      <x:c r="A46" s="2"/>
      <x:c r="B46" s="2"/>
      <x:c r="C46" s="2"/>
      <x:c r="D46" s="2"/>
      <x:c r="E46" s="2"/>
      <x:c r="F46" s="2"/>
      <x:c r="G46" s="2"/>
      <x:c r="H46" s="2"/>
    </x:row>
    <x:row r="47" ht="27" customHeight="1">
      <x:c r="A47" s="2" t="str">
        <x:v>以企业编号和发票编号共同定位；9 月为 F001—F010，8 月为 F011—F020。</x:v>
      </x:c>
      <x:c r="B47" s="2"/>
      <x:c r="C47" s="2"/>
      <x:c r="D47" s="2"/>
      <x:c r="E47" s="2"/>
      <x:c r="F47" s="2"/>
      <x:c r="G47" s="2"/>
      <x:c r="H47" s="2"/>
    </x:row>
    <x:row r="48" ht="27" customHeight="1">
      <x:c r="A48" s="2" t="str">
        <x:v>淡黄色为允许补充的字段，空白表示未填写。不能把票面项目直接当作实际用途。</x:v>
      </x:c>
      <x:c r="B48" s="2"/>
      <x:c r="C48" s="2"/>
      <x:c r="D48" s="2"/>
      <x:c r="E48" s="2"/>
      <x:c r="F48" s="2"/>
      <x:c r="G48" s="2"/>
      <x:c r="H48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0" hidden="0" customWidth="1"/>
    <x:col min="4" max="4" width="18" hidden="0" customWidth="1"/>
    <x:col min="5" max="5" width="22" hidden="0" customWidth="1"/>
    <x:col min="6" max="6" width="32" hidden="0" customWidth="1"/>
    <x:col min="7" max="7" width="28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</x:row>
    <x:row r="2" ht="34" customHeight="1">
      <x:c r="A2" s="4" t="str">
        <x:v>银行流水明细</x:v>
      </x:c>
      <x:c r="B2" s="5"/>
      <x:c r="C2" s="5"/>
      <x:c r="D2" s="5"/>
      <x:c r="E2" s="5"/>
      <x:c r="F2" s="5"/>
      <x:c r="G2" s="5"/>
    </x:row>
    <x:row r="3" ht="27" customHeight="1">
      <x:c r="A3" s="6" t="str">
        <x:v>来源：比赛虚构样本。收入和支出均使用正数金额，全部字段只读。</x:v>
      </x:c>
      <x:c r="B3" s="2"/>
      <x:c r="C3" s="2"/>
      <x:c r="D3" s="2"/>
      <x:c r="E3" s="2"/>
      <x:c r="F3" s="2"/>
      <x:c r="G3" s="2"/>
    </x:row>
    <x:row r="4" ht="27" customHeight="1">
      <x:c r="A4" s="2"/>
      <x:c r="B4" s="2"/>
      <x:c r="C4" s="2"/>
      <x:c r="D4" s="2"/>
      <x:c r="E4" s="2"/>
      <x:c r="F4" s="2"/>
      <x:c r="G4" s="2"/>
    </x:row>
    <x:row r="5" ht="31" customHeight="1">
      <x:c r="A5" s="11" t="str">
        <x:v>企业编号</x:v>
      </x:c>
      <x:c r="B5" s="12" t="str">
        <x:v>流水编号</x:v>
      </x:c>
      <x:c r="C5" s="12" t="str">
        <x:v>交易日期</x:v>
      </x:c>
      <x:c r="D5" s="12" t="str">
        <x:v>收支方向</x:v>
      </x:c>
      <x:c r="E5" s="12" t="str">
        <x:v>金额（元）</x:v>
      </x:c>
      <x:c r="F5" s="12" t="str">
        <x:v>对方名称</x:v>
      </x:c>
      <x:c r="G5" s="13" t="str">
        <x:v>备注</x:v>
      </x:c>
    </x:row>
    <x:row r="6" ht="27" customHeight="1">
      <x:c r="A6" s="16" t="str">
        <x:v>C001</x:v>
      </x:c>
      <x:c r="B6" s="16" t="str">
        <x:v>T013</x:v>
      </x:c>
      <x:c r="C6" s="40" t="d">
        <x:v>2026-08-01T00:00:00.000Z</x:v>
      </x:c>
      <x:c r="D6" s="45" t="str">
        <x:v>支出</x:v>
      </x:c>
      <x:c r="E6" s="29" t="n">
        <x:v>600</x:v>
      </x:c>
      <x:c r="F6" s="2" t="str">
        <x:v>青禾办公用品（模拟）</x:v>
      </x:c>
      <x:c r="G6" s="2" t="str">
        <x:v>办公用品采购</x:v>
      </x:c>
    </x:row>
    <x:row r="7" ht="27" customHeight="1">
      <x:c r="A7" s="17" t="str">
        <x:v>C001</x:v>
      </x:c>
      <x:c r="B7" s="17" t="str">
        <x:v>T014</x:v>
      </x:c>
      <x:c r="C7" s="41" t="d">
        <x:v>2026-08-03T00:00:00.000Z</x:v>
      </x:c>
      <x:c r="D7" s="46" t="str">
        <x:v>支出</x:v>
      </x:c>
      <x:c r="E7" s="31" t="n">
        <x:v>900</x:v>
      </x:c>
      <x:c r="F7" s="14" t="str">
        <x:v>平川物流（模拟）</x:v>
      </x:c>
      <x:c r="G7" s="14" t="str">
        <x:v>物流服务支出</x:v>
      </x:c>
    </x:row>
    <x:row r="8" ht="27" customHeight="1">
      <x:c r="A8" s="16" t="str">
        <x:v>C001</x:v>
      </x:c>
      <x:c r="B8" s="16" t="str">
        <x:v>T021</x:v>
      </x:c>
      <x:c r="C8" s="40" t="d">
        <x:v>2026-08-04T00:00:00.000Z</x:v>
      </x:c>
      <x:c r="D8" s="45" t="str">
        <x:v>收入</x:v>
      </x:c>
      <x:c r="E8" s="29" t="n">
        <x:v>5000</x:v>
      </x:c>
      <x:c r="F8" s="2" t="str">
        <x:v>晨星项目客户（模拟）</x:v>
      </x:c>
      <x:c r="G8" s="2" t="str">
        <x:v>项目服务收入</x:v>
      </x:c>
    </x:row>
    <x:row r="9" ht="27" customHeight="1">
      <x:c r="A9" s="17" t="str">
        <x:v>C001</x:v>
      </x:c>
      <x:c r="B9" s="17" t="str">
        <x:v>T015</x:v>
      </x:c>
      <x:c r="C9" s="41" t="d">
        <x:v>2026-08-05T00:00:00.000Z</x:v>
      </x:c>
      <x:c r="D9" s="46" t="str">
        <x:v>支出</x:v>
      </x:c>
      <x:c r="E9" s="31" t="n">
        <x:v>100</x:v>
      </x:c>
      <x:c r="F9" s="14" t="str">
        <x:v>禾川通信（模拟）</x:v>
      </x:c>
      <x:c r="G9" s="14" t="str">
        <x:v>通信服务支出</x:v>
      </x:c>
    </x:row>
    <x:row r="10" ht="27" customHeight="1">
      <x:c r="A10" s="16" t="str">
        <x:v>C001</x:v>
      </x:c>
      <x:c r="B10" s="16" t="str">
        <x:v>T016</x:v>
      </x:c>
      <x:c r="C10" s="40" t="d">
        <x:v>2026-08-08T00:00:00.000Z</x:v>
      </x:c>
      <x:c r="D10" s="45" t="str">
        <x:v>支出</x:v>
      </x:c>
      <x:c r="E10" s="29" t="n">
        <x:v>460.5</x:v>
      </x:c>
      <x:c r="F10" s="2" t="str">
        <x:v>岭南商旅（模拟）</x:v>
      </x:c>
      <x:c r="G10" s="2" t="str">
        <x:v>差旅服务支出</x:v>
      </x:c>
    </x:row>
    <x:row r="11" ht="27" customHeight="1">
      <x:c r="A11" s="17" t="str">
        <x:v>C001</x:v>
      </x:c>
      <x:c r="B11" s="17" t="str">
        <x:v>T017</x:v>
      </x:c>
      <x:c r="C11" s="41" t="d">
        <x:v>2026-08-12T00:00:00.000Z</x:v>
      </x:c>
      <x:c r="D11" s="46" t="str">
        <x:v>支出</x:v>
      </x:c>
      <x:c r="E11" s="31" t="n">
        <x:v>1200</x:v>
      </x:c>
      <x:c r="F11" s="14" t="str">
        <x:v>云桥信息服务（模拟）</x:v>
      </x:c>
      <x:c r="G11" s="14" t="str">
        <x:v>系统服务支出</x:v>
      </x:c>
    </x:row>
    <x:row r="12" ht="27" customHeight="1">
      <x:c r="A12" s="16" t="str">
        <x:v>C001</x:v>
      </x:c>
      <x:c r="B12" s="16" t="str">
        <x:v>T022</x:v>
      </x:c>
      <x:c r="C12" s="40" t="d">
        <x:v>2026-08-14T00:00:00.000Z</x:v>
      </x:c>
      <x:c r="D12" s="45" t="str">
        <x:v>收入</x:v>
      </x:c>
      <x:c r="E12" s="29" t="n">
        <x:v>3600</x:v>
      </x:c>
      <x:c r="F12" s="2" t="str">
        <x:v>远帆项目客户（模拟）</x:v>
      </x:c>
      <x:c r="G12" s="2" t="str">
        <x:v>阶段服务收入</x:v>
      </x:c>
    </x:row>
    <x:row r="13" ht="27" customHeight="1">
      <x:c r="A13" s="17" t="str">
        <x:v>C001</x:v>
      </x:c>
      <x:c r="B13" s="17" t="str">
        <x:v>T018</x:v>
      </x:c>
      <x:c r="C13" s="41" t="d">
        <x:v>2026-08-17T00:00:00.000Z</x:v>
      </x:c>
      <x:c r="D13" s="46" t="str">
        <x:v>支出</x:v>
      </x:c>
      <x:c r="E13" s="31" t="n">
        <x:v>999.99</x:v>
      </x:c>
      <x:c r="F13" s="14" t="str">
        <x:v>山海物业（模拟）</x:v>
      </x:c>
      <x:c r="G13" s="14" t="str">
        <x:v>物业服务支出</x:v>
      </x:c>
    </x:row>
    <x:row r="14" ht="27" customHeight="1">
      <x:c r="A14" s="16" t="str">
        <x:v>C001</x:v>
      </x:c>
      <x:c r="B14" s="16" t="str">
        <x:v>T019</x:v>
      </x:c>
      <x:c r="C14" s="40" t="d">
        <x:v>2026-08-22T00:00:00.000Z</x:v>
      </x:c>
      <x:c r="D14" s="45" t="str">
        <x:v>支出</x:v>
      </x:c>
      <x:c r="E14" s="29" t="n">
        <x:v>1000</x:v>
      </x:c>
      <x:c r="F14" s="2" t="str">
        <x:v>星河印刷（模拟）</x:v>
      </x:c>
      <x:c r="G14" s="2" t="str">
        <x:v>资料印刷支出</x:v>
      </x:c>
    </x:row>
    <x:row r="15" ht="27" customHeight="1">
      <x:c r="A15" s="17" t="str">
        <x:v>C001</x:v>
      </x:c>
      <x:c r="B15" s="17" t="str">
        <x:v>T023</x:v>
      </x:c>
      <x:c r="C15" s="41" t="d">
        <x:v>2026-08-25T00:00:00.000Z</x:v>
      </x:c>
      <x:c r="D15" s="46" t="str">
        <x:v>收入</x:v>
      </x:c>
      <x:c r="E15" s="31" t="n">
        <x:v>1250.75</x:v>
      </x:c>
      <x:c r="F15" s="14" t="str">
        <x:v>栖木项目客户（模拟）</x:v>
      </x:c>
      <x:c r="G15" s="14" t="str">
        <x:v>项目服务收入</x:v>
      </x:c>
    </x:row>
    <x:row r="16" ht="27" customHeight="1">
      <x:c r="A16" s="16" t="str">
        <x:v>C001</x:v>
      </x:c>
      <x:c r="B16" s="16" t="str">
        <x:v>T020</x:v>
      </x:c>
      <x:c r="C16" s="40" t="d">
        <x:v>2026-08-31T00:00:00.000Z</x:v>
      </x:c>
      <x:c r="D16" s="45" t="str">
        <x:v>支出</x:v>
      </x:c>
      <x:c r="E16" s="29" t="n">
        <x:v>460.5</x:v>
      </x:c>
      <x:c r="F16" s="2" t="str">
        <x:v>澄宇设备（模拟）</x:v>
      </x:c>
      <x:c r="G16" s="2" t="str">
        <x:v>设备采购支出</x:v>
      </x:c>
    </x:row>
    <x:row r="17" ht="27" customHeight="1">
      <x:c r="A17" s="17" t="str">
        <x:v>C001</x:v>
      </x:c>
      <x:c r="B17" s="17" t="str">
        <x:v>T024</x:v>
      </x:c>
      <x:c r="C17" s="41" t="d">
        <x:v>2026-08-31T00:00:00.000Z</x:v>
      </x:c>
      <x:c r="D17" s="46" t="str">
        <x:v>收入</x:v>
      </x:c>
      <x:c r="E17" s="31" t="n">
        <x:v>5000</x:v>
      </x:c>
      <x:c r="F17" s="14" t="str">
        <x:v>清泉项目客户（模拟）</x:v>
      </x:c>
      <x:c r="G17" s="14" t="str">
        <x:v>项目服务收入</x:v>
      </x:c>
    </x:row>
    <x:row r="18" ht="27" customHeight="1">
      <x:c r="A18" s="16" t="str">
        <x:v>C001</x:v>
      </x:c>
      <x:c r="B18" s="16" t="str">
        <x:v>T001</x:v>
      </x:c>
      <x:c r="C18" s="40" t="d">
        <x:v>2026-09-01T00:00:00.000Z</x:v>
      </x:c>
      <x:c r="D18" s="45" t="str">
        <x:v>支出</x:v>
      </x:c>
      <x:c r="E18" s="29" t="n">
        <x:v>400</x:v>
      </x:c>
      <x:c r="F18" s="2" t="str">
        <x:v>青禾办公用品（模拟）</x:v>
      </x:c>
      <x:c r="G18" s="2" t="str">
        <x:v>办公用品采购</x:v>
      </x:c>
    </x:row>
    <x:row r="19" ht="27" customHeight="1">
      <x:c r="A19" s="17" t="str">
        <x:v>C001</x:v>
      </x:c>
      <x:c r="B19" s="17" t="str">
        <x:v>T002</x:v>
      </x:c>
      <x:c r="C19" s="41" t="d">
        <x:v>2026-09-03T00:00:00.000Z</x:v>
      </x:c>
      <x:c r="D19" s="46" t="str">
        <x:v>支出</x:v>
      </x:c>
      <x:c r="E19" s="31" t="n">
        <x:v>500</x:v>
      </x:c>
      <x:c r="F19" s="14" t="str">
        <x:v>平川物流（模拟）</x:v>
      </x:c>
      <x:c r="G19" s="14" t="str">
        <x:v>物流服务支出</x:v>
      </x:c>
    </x:row>
    <x:row r="20" ht="27" customHeight="1">
      <x:c r="A20" s="16" t="str">
        <x:v>C001</x:v>
      </x:c>
      <x:c r="B20" s="16" t="str">
        <x:v>T009</x:v>
      </x:c>
      <x:c r="C20" s="40" t="d">
        <x:v>2026-09-04T00:00:00.000Z</x:v>
      </x:c>
      <x:c r="D20" s="45" t="str">
        <x:v>收入</x:v>
      </x:c>
      <x:c r="E20" s="29" t="n">
        <x:v>3000</x:v>
      </x:c>
      <x:c r="F20" s="2" t="str">
        <x:v>晨星项目客户（模拟）</x:v>
      </x:c>
      <x:c r="G20" s="2" t="str">
        <x:v>项目服务收入</x:v>
      </x:c>
    </x:row>
    <x:row r="21" ht="27" customHeight="1">
      <x:c r="A21" s="17" t="str">
        <x:v>C001</x:v>
      </x:c>
      <x:c r="B21" s="17" t="str">
        <x:v>T003</x:v>
      </x:c>
      <x:c r="C21" s="41" t="d">
        <x:v>2026-09-05T00:00:00.000Z</x:v>
      </x:c>
      <x:c r="D21" s="46" t="str">
        <x:v>支出</x:v>
      </x:c>
      <x:c r="E21" s="31" t="n">
        <x:v>300</x:v>
      </x:c>
      <x:c r="F21" s="14" t="str">
        <x:v>禾川通信（模拟）</x:v>
      </x:c>
      <x:c r="G21" s="14" t="str">
        <x:v>通信服务支出</x:v>
      </x:c>
    </x:row>
    <x:row r="22" ht="27" customHeight="1">
      <x:c r="A22" s="16" t="str">
        <x:v>C001</x:v>
      </x:c>
      <x:c r="B22" s="16" t="str">
        <x:v>T004</x:v>
      </x:c>
      <x:c r="C22" s="40" t="d">
        <x:v>2026-09-08T00:00:00.000Z</x:v>
      </x:c>
      <x:c r="D22" s="45" t="str">
        <x:v>支出</x:v>
      </x:c>
      <x:c r="E22" s="29" t="n">
        <x:v>800.25</x:v>
      </x:c>
      <x:c r="F22" s="2" t="str">
        <x:v>岭南商旅（模拟）</x:v>
      </x:c>
      <x:c r="G22" s="2" t="str">
        <x:v>差旅服务支出</x:v>
      </x:c>
    </x:row>
    <x:row r="23" ht="27" customHeight="1">
      <x:c r="A23" s="17" t="str">
        <x:v>C001</x:v>
      </x:c>
      <x:c r="B23" s="17" t="str">
        <x:v>T005</x:v>
      </x:c>
      <x:c r="C23" s="41" t="d">
        <x:v>2026-09-12T00:00:00.000Z</x:v>
      </x:c>
      <x:c r="D23" s="46" t="str">
        <x:v>支出</x:v>
      </x:c>
      <x:c r="E23" s="31" t="n">
        <x:v>1000</x:v>
      </x:c>
      <x:c r="F23" s="14" t="str">
        <x:v>云桥信息服务（模拟）</x:v>
      </x:c>
      <x:c r="G23" s="14" t="str">
        <x:v>系统服务支出</x:v>
      </x:c>
    </x:row>
    <x:row r="24" ht="27" customHeight="1">
      <x:c r="A24" s="16" t="str">
        <x:v>C001</x:v>
      </x:c>
      <x:c r="B24" s="16" t="str">
        <x:v>T010</x:v>
      </x:c>
      <x:c r="C24" s="40" t="d">
        <x:v>2026-09-14T00:00:00.000Z</x:v>
      </x:c>
      <x:c r="D24" s="45" t="str">
        <x:v>收入</x:v>
      </x:c>
      <x:c r="E24" s="29" t="n">
        <x:v>5200.5</x:v>
      </x:c>
      <x:c r="F24" s="2" t="str">
        <x:v>远帆项目客户（模拟）</x:v>
      </x:c>
      <x:c r="G24" s="2" t="str">
        <x:v>阶段服务收入</x:v>
      </x:c>
    </x:row>
    <x:row r="25" ht="27" customHeight="1">
      <x:c r="A25" s="17" t="str">
        <x:v>C001</x:v>
      </x:c>
      <x:c r="B25" s="17" t="str">
        <x:v>T006</x:v>
      </x:c>
      <x:c r="C25" s="41" t="d">
        <x:v>2026-09-17T00:00:00.000Z</x:v>
      </x:c>
      <x:c r="D25" s="46" t="str">
        <x:v>支出</x:v>
      </x:c>
      <x:c r="E25" s="31" t="n">
        <x:v>999.99</x:v>
      </x:c>
      <x:c r="F25" s="14" t="str">
        <x:v>山海物业（模拟）</x:v>
      </x:c>
      <x:c r="G25" s="14" t="str">
        <x:v>物业服务支出</x:v>
      </x:c>
    </x:row>
    <x:row r="26" ht="27" customHeight="1">
      <x:c r="A26" s="16" t="str">
        <x:v>C001</x:v>
      </x:c>
      <x:c r="B26" s="16" t="str">
        <x:v>T007</x:v>
      </x:c>
      <x:c r="C26" s="40" t="d">
        <x:v>2026-09-22T00:00:00.000Z</x:v>
      </x:c>
      <x:c r="D26" s="45" t="str">
        <x:v>支出</x:v>
      </x:c>
      <x:c r="E26" s="29" t="n">
        <x:v>500</x:v>
      </x:c>
      <x:c r="F26" s="2" t="str">
        <x:v>星河印刷（模拟）</x:v>
      </x:c>
      <x:c r="G26" s="2" t="str">
        <x:v>资料印刷支出</x:v>
      </x:c>
    </x:row>
    <x:row r="27" ht="27" customHeight="1">
      <x:c r="A27" s="17" t="str">
        <x:v>C001</x:v>
      </x:c>
      <x:c r="B27" s="17" t="str">
        <x:v>T011</x:v>
      </x:c>
      <x:c r="C27" s="41" t="d">
        <x:v>2026-09-25T00:00:00.000Z</x:v>
      </x:c>
      <x:c r="D27" s="46" t="str">
        <x:v>收入</x:v>
      </x:c>
      <x:c r="E27" s="31" t="n">
        <x:v>1800</x:v>
      </x:c>
      <x:c r="F27" s="14" t="str">
        <x:v>栖木项目客户（模拟）</x:v>
      </x:c>
      <x:c r="G27" s="14" t="str">
        <x:v>项目服务收入</x:v>
      </x:c>
    </x:row>
    <x:row r="28" ht="27" customHeight="1">
      <x:c r="A28" s="16" t="str">
        <x:v>C001</x:v>
      </x:c>
      <x:c r="B28" s="16" t="str">
        <x:v>T008</x:v>
      </x:c>
      <x:c r="C28" s="40" t="d">
        <x:v>2026-09-30T00:00:00.000Z</x:v>
      </x:c>
      <x:c r="D28" s="45" t="str">
        <x:v>支出</x:v>
      </x:c>
      <x:c r="E28" s="29" t="n">
        <x:v>2680.5</x:v>
      </x:c>
      <x:c r="F28" s="2" t="str">
        <x:v>澄宇设备（模拟）</x:v>
      </x:c>
      <x:c r="G28" s="2" t="str">
        <x:v>设备采购支出</x:v>
      </x:c>
    </x:row>
    <x:row r="29" ht="27" customHeight="1">
      <x:c r="A29" s="17" t="str">
        <x:v>C001</x:v>
      </x:c>
      <x:c r="B29" s="17" t="str">
        <x:v>T012</x:v>
      </x:c>
      <x:c r="C29" s="41" t="d">
        <x:v>2026-09-30T00:00:00.000Z</x:v>
      </x:c>
      <x:c r="D29" s="46" t="str">
        <x:v>收入</x:v>
      </x:c>
      <x:c r="E29" s="31" t="n">
        <x:v>3000</x:v>
      </x:c>
      <x:c r="F29" s="14" t="str">
        <x:v>清泉项目客户（模拟）</x:v>
      </x:c>
      <x:c r="G29" s="14" t="str">
        <x:v>项目服务收入</x:v>
      </x:c>
    </x:row>
    <x:row r="30" ht="27" customHeight="1">
      <x:c r="A30" s="16" t="str">
        <x:v>C002</x:v>
      </x:c>
      <x:c r="B30" s="16" t="str">
        <x:v>T013</x:v>
      </x:c>
      <x:c r="C30" s="40" t="d">
        <x:v>2026-08-01T00:00:00.000Z</x:v>
      </x:c>
      <x:c r="D30" s="45" t="str">
        <x:v>支出</x:v>
      </x:c>
      <x:c r="E30" s="29" t="n">
        <x:v>950</x:v>
      </x:c>
      <x:c r="F30" s="2" t="str">
        <x:v>青禾办公用品（模拟）</x:v>
      </x:c>
      <x:c r="G30" s="2" t="str">
        <x:v>办公用品采购</x:v>
      </x:c>
    </x:row>
    <x:row r="31" ht="27" customHeight="1">
      <x:c r="A31" s="17" t="str">
        <x:v>C002</x:v>
      </x:c>
      <x:c r="B31" s="17" t="str">
        <x:v>T014</x:v>
      </x:c>
      <x:c r="C31" s="41" t="d">
        <x:v>2026-08-03T00:00:00.000Z</x:v>
      </x:c>
      <x:c r="D31" s="46" t="str">
        <x:v>支出</x:v>
      </x:c>
      <x:c r="E31" s="31" t="n">
        <x:v>1000</x:v>
      </x:c>
      <x:c r="F31" s="14" t="str">
        <x:v>平川物流（模拟）</x:v>
      </x:c>
      <x:c r="G31" s="14" t="str">
        <x:v>物流服务支出</x:v>
      </x:c>
    </x:row>
    <x:row r="32" ht="27" customHeight="1">
      <x:c r="A32" s="16" t="str">
        <x:v>C002</x:v>
      </x:c>
      <x:c r="B32" s="16" t="str">
        <x:v>T021</x:v>
      </x:c>
      <x:c r="C32" s="40" t="d">
        <x:v>2026-08-04T00:00:00.000Z</x:v>
      </x:c>
      <x:c r="D32" s="45" t="str">
        <x:v>收入</x:v>
      </x:c>
      <x:c r="E32" s="29" t="n">
        <x:v>6000</x:v>
      </x:c>
      <x:c r="F32" s="2" t="str">
        <x:v>晨星项目客户（模拟）</x:v>
      </x:c>
      <x:c r="G32" s="2" t="str">
        <x:v>项目服务收入</x:v>
      </x:c>
    </x:row>
    <x:row r="33" ht="27" customHeight="1">
      <x:c r="A33" s="17" t="str">
        <x:v>C002</x:v>
      </x:c>
      <x:c r="B33" s="17" t="str">
        <x:v>T015</x:v>
      </x:c>
      <x:c r="C33" s="41" t="d">
        <x:v>2026-08-05T00:00:00.000Z</x:v>
      </x:c>
      <x:c r="D33" s="46" t="str">
        <x:v>支出</x:v>
      </x:c>
      <x:c r="E33" s="31" t="n">
        <x:v>1300</x:v>
      </x:c>
      <x:c r="F33" s="14" t="str">
        <x:v>禾川通信（模拟）</x:v>
      </x:c>
      <x:c r="G33" s="14" t="str">
        <x:v>通信服务支出</x:v>
      </x:c>
    </x:row>
    <x:row r="34" ht="27" customHeight="1">
      <x:c r="A34" s="16" t="str">
        <x:v>C002</x:v>
      </x:c>
      <x:c r="B34" s="16" t="str">
        <x:v>T016</x:v>
      </x:c>
      <x:c r="C34" s="40" t="d">
        <x:v>2026-08-08T00:00:00.000Z</x:v>
      </x:c>
      <x:c r="D34" s="45" t="str">
        <x:v>支出</x:v>
      </x:c>
      <x:c r="E34" s="29" t="n">
        <x:v>780.6</x:v>
      </x:c>
      <x:c r="F34" s="2" t="str">
        <x:v>岭南商旅（模拟）</x:v>
      </x:c>
      <x:c r="G34" s="2" t="str">
        <x:v>差旅服务支出</x:v>
      </x:c>
    </x:row>
    <x:row r="35" ht="27" customHeight="1">
      <x:c r="A35" s="17" t="str">
        <x:v>C002</x:v>
      </x:c>
      <x:c r="B35" s="17" t="str">
        <x:v>T017</x:v>
      </x:c>
      <x:c r="C35" s="41" t="d">
        <x:v>2026-08-12T00:00:00.000Z</x:v>
      </x:c>
      <x:c r="D35" s="46" t="str">
        <x:v>支出</x:v>
      </x:c>
      <x:c r="E35" s="31" t="n">
        <x:v>1000.01</x:v>
      </x:c>
      <x:c r="F35" s="14" t="str">
        <x:v>云桥信息服务（模拟）</x:v>
      </x:c>
      <x:c r="G35" s="14" t="str">
        <x:v>系统服务支出</x:v>
      </x:c>
    </x:row>
    <x:row r="36" ht="27" customHeight="1">
      <x:c r="A36" s="16" t="str">
        <x:v>C002</x:v>
      </x:c>
      <x:c r="B36" s="16" t="str">
        <x:v>T022</x:v>
      </x:c>
      <x:c r="C36" s="40" t="d">
        <x:v>2026-08-14T00:00:00.000Z</x:v>
      </x:c>
      <x:c r="D36" s="45" t="str">
        <x:v>收入</x:v>
      </x:c>
      <x:c r="E36" s="29" t="n">
        <x:v>4800.25</x:v>
      </x:c>
      <x:c r="F36" s="2" t="str">
        <x:v>远帆项目客户（模拟）</x:v>
      </x:c>
      <x:c r="G36" s="2" t="str">
        <x:v>阶段服务收入</x:v>
      </x:c>
    </x:row>
    <x:row r="37" ht="27" customHeight="1">
      <x:c r="A37" s="17" t="str">
        <x:v>C002</x:v>
      </x:c>
      <x:c r="B37" s="17" t="str">
        <x:v>T018</x:v>
      </x:c>
      <x:c r="C37" s="41" t="d">
        <x:v>2026-08-17T00:00:00.000Z</x:v>
      </x:c>
      <x:c r="D37" s="46" t="str">
        <x:v>支出</x:v>
      </x:c>
      <x:c r="E37" s="31" t="n">
        <x:v>999.99</x:v>
      </x:c>
      <x:c r="F37" s="14" t="str">
        <x:v>山海物业（模拟）</x:v>
      </x:c>
      <x:c r="G37" s="14" t="str">
        <x:v>物业服务支出</x:v>
      </x:c>
    </x:row>
    <x:row r="38" ht="27" customHeight="1">
      <x:c r="A38" s="16" t="str">
        <x:v>C002</x:v>
      </x:c>
      <x:c r="B38" s="16" t="str">
        <x:v>T019</x:v>
      </x:c>
      <x:c r="C38" s="40" t="d">
        <x:v>2026-08-22T00:00:00.000Z</x:v>
      </x:c>
      <x:c r="D38" s="45" t="str">
        <x:v>支出</x:v>
      </x:c>
      <x:c r="E38" s="29" t="n">
        <x:v>950</x:v>
      </x:c>
      <x:c r="F38" s="2" t="str">
        <x:v>星河印刷（模拟）</x:v>
      </x:c>
      <x:c r="G38" s="2" t="str">
        <x:v>资料印刷支出</x:v>
      </x:c>
    </x:row>
    <x:row r="39" ht="27" customHeight="1">
      <x:c r="A39" s="17" t="str">
        <x:v>C002</x:v>
      </x:c>
      <x:c r="B39" s="17" t="str">
        <x:v>T023</x:v>
      </x:c>
      <x:c r="C39" s="41" t="d">
        <x:v>2026-08-25T00:00:00.000Z</x:v>
      </x:c>
      <x:c r="D39" s="46" t="str">
        <x:v>收入</x:v>
      </x:c>
      <x:c r="E39" s="31" t="n">
        <x:v>2000</x:v>
      </x:c>
      <x:c r="F39" s="14" t="str">
        <x:v>栖木项目客户（模拟）</x:v>
      </x:c>
      <x:c r="G39" s="14" t="str">
        <x:v>项目服务收入</x:v>
      </x:c>
    </x:row>
    <x:row r="40" ht="27" customHeight="1">
      <x:c r="A40" s="16" t="str">
        <x:v>C002</x:v>
      </x:c>
      <x:c r="B40" s="16" t="str">
        <x:v>T020</x:v>
      </x:c>
      <x:c r="C40" s="40" t="d">
        <x:v>2026-08-31T00:00:00.000Z</x:v>
      </x:c>
      <x:c r="D40" s="45" t="str">
        <x:v>支出</x:v>
      </x:c>
      <x:c r="E40" s="29" t="n">
        <x:v>2360.5</x:v>
      </x:c>
      <x:c r="F40" s="2" t="str">
        <x:v>澄宇设备（模拟）</x:v>
      </x:c>
      <x:c r="G40" s="2" t="str">
        <x:v>设备采购支出</x:v>
      </x:c>
    </x:row>
    <x:row r="41" ht="27" customHeight="1">
      <x:c r="A41" s="17" t="str">
        <x:v>C002</x:v>
      </x:c>
      <x:c r="B41" s="17" t="str">
        <x:v>T024</x:v>
      </x:c>
      <x:c r="C41" s="41" t="d">
        <x:v>2026-08-31T00:00:00.000Z</x:v>
      </x:c>
      <x:c r="D41" s="46" t="str">
        <x:v>收入</x:v>
      </x:c>
      <x:c r="E41" s="31" t="n">
        <x:v>6000</x:v>
      </x:c>
      <x:c r="F41" s="14" t="str">
        <x:v>清泉项目客户（模拟）</x:v>
      </x:c>
      <x:c r="G41" s="14" t="str">
        <x:v>项目服务收入</x:v>
      </x:c>
    </x:row>
    <x:row r="42" ht="27" customHeight="1">
      <x:c r="A42" s="16" t="str">
        <x:v>C002</x:v>
      </x:c>
      <x:c r="B42" s="16" t="str">
        <x:v>T001</x:v>
      </x:c>
      <x:c r="C42" s="40" t="d">
        <x:v>2026-09-01T00:00:00.000Z</x:v>
      </x:c>
      <x:c r="D42" s="45" t="str">
        <x:v>支出</x:v>
      </x:c>
      <x:c r="E42" s="29" t="n">
        <x:v>1000</x:v>
      </x:c>
      <x:c r="F42" s="2" t="str">
        <x:v>青禾办公用品（模拟）</x:v>
      </x:c>
      <x:c r="G42" s="2" t="str">
        <x:v>办公用品采购</x:v>
      </x:c>
    </x:row>
    <x:row r="43" ht="27" customHeight="1">
      <x:c r="A43" s="17" t="str">
        <x:v>C002</x:v>
      </x:c>
      <x:c r="B43" s="17" t="str">
        <x:v>T002</x:v>
      </x:c>
      <x:c r="C43" s="41" t="d">
        <x:v>2026-09-03T00:00:00.000Z</x:v>
      </x:c>
      <x:c r="D43" s="46" t="str">
        <x:v>支出</x:v>
      </x:c>
      <x:c r="E43" s="31" t="n">
        <x:v>600</x:v>
      </x:c>
      <x:c r="F43" s="14" t="str">
        <x:v>平川物流（模拟）</x:v>
      </x:c>
      <x:c r="G43" s="14" t="str">
        <x:v>物流服务支出</x:v>
      </x:c>
    </x:row>
    <x:row r="44" ht="27" customHeight="1">
      <x:c r="A44" s="16" t="str">
        <x:v>C002</x:v>
      </x:c>
      <x:c r="B44" s="16" t="str">
        <x:v>T009</x:v>
      </x:c>
      <x:c r="C44" s="40" t="d">
        <x:v>2026-09-04T00:00:00.000Z</x:v>
      </x:c>
      <x:c r="D44" s="45" t="str">
        <x:v>收入</x:v>
      </x:c>
      <x:c r="E44" s="29" t="n">
        <x:v>4500</x:v>
      </x:c>
      <x:c r="F44" s="2" t="str">
        <x:v>晨星项目客户（模拟）</x:v>
      </x:c>
      <x:c r="G44" s="2" t="str">
        <x:v>项目服务收入</x:v>
      </x:c>
    </x:row>
    <x:row r="45" ht="27" customHeight="1">
      <x:c r="A45" s="17" t="str">
        <x:v>C002</x:v>
      </x:c>
      <x:c r="B45" s="17" t="str">
        <x:v>T003</x:v>
      </x:c>
      <x:c r="C45" s="41" t="d">
        <x:v>2026-09-05T00:00:00.000Z</x:v>
      </x:c>
      <x:c r="D45" s="46" t="str">
        <x:v>支出</x:v>
      </x:c>
      <x:c r="E45" s="31" t="n">
        <x:v>400</x:v>
      </x:c>
      <x:c r="F45" s="14" t="str">
        <x:v>禾川通信（模拟）</x:v>
      </x:c>
      <x:c r="G45" s="14" t="str">
        <x:v>通信服务支出</x:v>
      </x:c>
    </x:row>
    <x:row r="46" ht="27" customHeight="1">
      <x:c r="A46" s="16" t="str">
        <x:v>C002</x:v>
      </x:c>
      <x:c r="B46" s="16" t="str">
        <x:v>T004</x:v>
      </x:c>
      <x:c r="C46" s="40" t="d">
        <x:v>2026-09-08T00:00:00.000Z</x:v>
      </x:c>
      <x:c r="D46" s="45" t="str">
        <x:v>支出</x:v>
      </x:c>
      <x:c r="E46" s="29" t="n">
        <x:v>1000</x:v>
      </x:c>
      <x:c r="F46" s="2" t="str">
        <x:v>岭南商旅（模拟）</x:v>
      </x:c>
      <x:c r="G46" s="2" t="str">
        <x:v>差旅服务支出</x:v>
      </x:c>
    </x:row>
    <x:row r="47" ht="27" customHeight="1">
      <x:c r="A47" s="17" t="str">
        <x:v>C002</x:v>
      </x:c>
      <x:c r="B47" s="17" t="str">
        <x:v>T005</x:v>
      </x:c>
      <x:c r="C47" s="41" t="d">
        <x:v>2026-09-12T00:00:00.000Z</x:v>
      </x:c>
      <x:c r="D47" s="46" t="str">
        <x:v>支出</x:v>
      </x:c>
      <x:c r="E47" s="31" t="n">
        <x:v>1500.5</x:v>
      </x:c>
      <x:c r="F47" s="14" t="str">
        <x:v>云桥信息服务（模拟）</x:v>
      </x:c>
      <x:c r="G47" s="14" t="str">
        <x:v>系统服务支出</x:v>
      </x:c>
    </x:row>
    <x:row r="48" ht="27" customHeight="1">
      <x:c r="A48" s="16" t="str">
        <x:v>C002</x:v>
      </x:c>
      <x:c r="B48" s="16" t="str">
        <x:v>T010</x:v>
      </x:c>
      <x:c r="C48" s="40" t="d">
        <x:v>2026-09-14T00:00:00.000Z</x:v>
      </x:c>
      <x:c r="D48" s="45" t="str">
        <x:v>收入</x:v>
      </x:c>
      <x:c r="E48" s="29" t="n">
        <x:v>3200</x:v>
      </x:c>
      <x:c r="F48" s="2" t="str">
        <x:v>远帆项目客户（模拟）</x:v>
      </x:c>
      <x:c r="G48" s="2" t="str">
        <x:v>阶段服务收入</x:v>
      </x:c>
    </x:row>
    <x:row r="49" ht="27" customHeight="1">
      <x:c r="A49" s="17" t="str">
        <x:v>C002</x:v>
      </x:c>
      <x:c r="B49" s="17" t="str">
        <x:v>T006</x:v>
      </x:c>
      <x:c r="C49" s="41" t="d">
        <x:v>2026-09-17T00:00:00.000Z</x:v>
      </x:c>
      <x:c r="D49" s="46" t="str">
        <x:v>支出</x:v>
      </x:c>
      <x:c r="E49" s="31" t="n">
        <x:v>999.99</x:v>
      </x:c>
      <x:c r="F49" s="14" t="str">
        <x:v>山海物业（模拟）</x:v>
      </x:c>
      <x:c r="G49" s="14" t="str">
        <x:v>物业服务支出</x:v>
      </x:c>
    </x:row>
    <x:row r="50" ht="27" customHeight="1">
      <x:c r="A50" s="16" t="str">
        <x:v>C002</x:v>
      </x:c>
      <x:c r="B50" s="16" t="str">
        <x:v>T007</x:v>
      </x:c>
      <x:c r="C50" s="40" t="d">
        <x:v>2026-09-22T00:00:00.000Z</x:v>
      </x:c>
      <x:c r="D50" s="45" t="str">
        <x:v>支出</x:v>
      </x:c>
      <x:c r="E50" s="29" t="n">
        <x:v>486.75</x:v>
      </x:c>
      <x:c r="F50" s="2" t="str">
        <x:v>星河印刷（模拟）</x:v>
      </x:c>
      <x:c r="G50" s="2" t="str">
        <x:v>资料印刷支出</x:v>
      </x:c>
    </x:row>
    <x:row r="51" ht="27" customHeight="1">
      <x:c r="A51" s="17" t="str">
        <x:v>C002</x:v>
      </x:c>
      <x:c r="B51" s="17" t="str">
        <x:v>T011</x:v>
      </x:c>
      <x:c r="C51" s="41" t="d">
        <x:v>2026-09-25T00:00:00.000Z</x:v>
      </x:c>
      <x:c r="D51" s="46" t="str">
        <x:v>收入</x:v>
      </x:c>
      <x:c r="E51" s="31" t="n">
        <x:v>1500.75</x:v>
      </x:c>
      <x:c r="F51" s="14" t="str">
        <x:v>栖木项目客户（模拟）</x:v>
      </x:c>
      <x:c r="G51" s="14" t="str">
        <x:v>项目服务收入</x:v>
      </x:c>
    </x:row>
    <x:row r="52" ht="27" customHeight="1">
      <x:c r="A52" s="16" t="str">
        <x:v>C002</x:v>
      </x:c>
      <x:c r="B52" s="16" t="str">
        <x:v>T008</x:v>
      </x:c>
      <x:c r="C52" s="40" t="d">
        <x:v>2026-09-30T00:00:00.000Z</x:v>
      </x:c>
      <x:c r="D52" s="45" t="str">
        <x:v>支出</x:v>
      </x:c>
      <x:c r="E52" s="29" t="n">
        <x:v>2100</x:v>
      </x:c>
      <x:c r="F52" s="2" t="str">
        <x:v>澄宇设备（模拟）</x:v>
      </x:c>
      <x:c r="G52" s="2" t="str">
        <x:v>设备采购支出</x:v>
      </x:c>
    </x:row>
    <x:row r="53" ht="27" customHeight="1">
      <x:c r="A53" s="18" t="str">
        <x:v>C002</x:v>
      </x:c>
      <x:c r="B53" s="18" t="str">
        <x:v>T012</x:v>
      </x:c>
      <x:c r="C53" s="42" t="d">
        <x:v>2026-09-30T00:00:00.000Z</x:v>
      </x:c>
      <x:c r="D53" s="47" t="str">
        <x:v>收入</x:v>
      </x:c>
      <x:c r="E53" s="33" t="n">
        <x:v>4500</x:v>
      </x:c>
      <x:c r="F53" s="15" t="str">
        <x:v>清泉项目客户（模拟）</x:v>
      </x:c>
      <x:c r="G53" s="15" t="str">
        <x:v>项目服务收入</x:v>
      </x:c>
    </x:row>
    <x:row r="54" ht="27" customHeight="1">
      <x:c r="A54" s="2"/>
      <x:c r="B54" s="2"/>
      <x:c r="C54" s="2"/>
      <x:c r="D54" s="2"/>
      <x:c r="E54" s="2"/>
      <x:c r="F54" s="2"/>
      <x:c r="G54" s="2"/>
    </x:row>
    <x:row r="55" ht="27" customHeight="1">
      <x:c r="A55" s="2" t="str">
        <x:v>每家企业每月 8 条支出、4 条收入；相同金额可对应不同交易方。</x:v>
      </x:c>
      <x:c r="B55" s="2"/>
      <x:c r="C55" s="2"/>
      <x:c r="D55" s="2"/>
      <x:c r="E55" s="2"/>
      <x:c r="F55" s="2"/>
      <x:c r="G55" s="2"/>
    </x:row>
    <x:row r="56" ht="27" customHeight="1">
      <x:c r="A56" s="2" t="str">
        <x:v>银行流水与发票没有逐条对应关系，不能凭金额或日期推断已经付款。</x:v>
      </x:c>
      <x:c r="B56" s="2"/>
      <x:c r="C56" s="2"/>
      <x:c r="D56" s="2"/>
      <x:c r="E56" s="2"/>
      <x:c r="F56" s="2"/>
      <x:c r="G56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23" hidden="0" customWidth="1"/>
    <x:col min="3" max="3" width="76" hidden="0" customWidth="1"/>
    <x:col min="4" max="4" width="25" hidden="0" customWidth="1"/>
  </x:cols>
  <x:sheetData>
    <x:row r="1" ht="27" customHeight="1">
      <x:c r="A1" s="2"/>
      <x:c r="B1" s="2"/>
      <x:c r="C1" s="2"/>
      <x:c r="D1" s="2"/>
    </x:row>
    <x:row r="2" ht="34" customHeight="1">
      <x:c r="A2" s="4" t="str">
        <x:v>字段说明</x:v>
      </x:c>
      <x:c r="B2" s="5"/>
      <x:c r="C2" s="5"/>
      <x:c r="D2" s="5"/>
    </x:row>
    <x:row r="3" ht="27" customHeight="1">
      <x:c r="A3" s="6" t="str">
        <x:v>按字段含义导入资料。企业编号与业务编号共同确定一条记录。</x:v>
      </x:c>
      <x:c r="B3" s="2"/>
      <x:c r="C3" s="2"/>
      <x:c r="D3" s="2"/>
    </x:row>
    <x:row r="4" ht="27" customHeight="1">
      <x:c r="A4" s="2"/>
      <x:c r="B4" s="2"/>
      <x:c r="C4" s="2"/>
      <x:c r="D4" s="2"/>
    </x:row>
    <x:row r="5" ht="31" customHeight="1">
      <x:c r="A5" s="11" t="str">
        <x:v>字段</x:v>
      </x:c>
      <x:c r="B5" s="12" t="str">
        <x:v>数据类型</x:v>
      </x:c>
      <x:c r="C5" s="12" t="str">
        <x:v>含义</x:v>
      </x:c>
      <x:c r="D5" s="13" t="str">
        <x:v>修改范围</x:v>
      </x:c>
    </x:row>
    <x:row r="6" ht="35" customHeight="1">
      <x:c r="A6" s="2" t="str">
        <x:v>企业编号</x:v>
      </x:c>
      <x:c r="B6" s="2" t="str">
        <x:v>文本</x:v>
      </x:c>
      <x:c r="C6" s="48" t="str">
        <x:v>C001 为甲企业，C002 为乙企业；用于限定数据归属。</x:v>
      </x:c>
      <x:c r="D6" s="2" t="str">
        <x:v>不可修改</x:v>
      </x:c>
    </x:row>
    <x:row r="7" ht="35" customHeight="1">
      <x:c r="A7" s="14" t="str">
        <x:v>企业名称、简称</x:v>
      </x:c>
      <x:c r="B7" s="14" t="str">
        <x:v>文本</x:v>
      </x:c>
      <x:c r="C7" s="49" t="str">
        <x:v>完整名称和自然对话中的常用称呼。</x:v>
      </x:c>
      <x:c r="D7" s="14" t="str">
        <x:v>不可修改</x:v>
      </x:c>
    </x:row>
    <x:row r="8" ht="35" customHeight="1">
      <x:c r="A8" s="2" t="str">
        <x:v>用户编号</x:v>
      </x:c>
      <x:c r="B8" s="2" t="str">
        <x:v>文本</x:v>
      </x:c>
      <x:c r="C8" s="48" t="str">
        <x:v>U001、U002 对应两位测试用户。</x:v>
      </x:c>
      <x:c r="D8" s="2" t="str">
        <x:v>由演示入口选定</x:v>
      </x:c>
    </x:row>
    <x:row r="9" ht="35" customHeight="1">
      <x:c r="A9" s="14" t="str">
        <x:v>用户权限</x:v>
      </x:c>
      <x:c r="B9" s="14" t="str">
        <x:v>枚举</x:v>
      </x:c>
      <x:c r="C9" s="49" t="str">
        <x:v>可查看并修改、仅查看、无权访问；由程序校验。</x:v>
      </x:c>
      <x:c r="D9" s="14" t="str">
        <x:v>不可由对话更改</x:v>
      </x:c>
    </x:row>
    <x:row r="10" ht="35" customHeight="1">
      <x:c r="A10" s="2" t="str">
        <x:v>发票编号</x:v>
      </x:c>
      <x:c r="B10" s="2" t="str">
        <x:v>文本</x:v>
      </x:c>
      <x:c r="C10" s="48" t="str">
        <x:v>与企业编号共同定位。同号可以属于不同企业。</x:v>
      </x:c>
      <x:c r="D10" s="2" t="str">
        <x:v>不可修改</x:v>
      </x:c>
    </x:row>
    <x:row r="11" ht="35" customHeight="1">
      <x:c r="A11" s="14" t="str">
        <x:v>开票日期</x:v>
      </x:c>
      <x:c r="B11" s="14" t="str">
        <x:v>日期</x:v>
      </x:c>
      <x:c r="C11" s="49" t="str">
        <x:v>按年份和月份筛选，显示格式为 yyyy-mm-dd。</x:v>
      </x:c>
      <x:c r="D11" s="14" t="str">
        <x:v>不可修改</x:v>
      </x:c>
    </x:row>
    <x:row r="12" ht="35" customHeight="1">
      <x:c r="A12" s="2" t="str">
        <x:v>销售方名称</x:v>
      </x:c>
      <x:c r="B12" s="2" t="str">
        <x:v>文本</x:v>
      </x:c>
      <x:c r="C12" s="48" t="str">
        <x:v>发票上的销售方名称，全部为虚构名称。</x:v>
      </x:c>
      <x:c r="D12" s="2" t="str">
        <x:v>不可修改</x:v>
      </x:c>
    </x:row>
    <x:row r="13" ht="35" customHeight="1">
      <x:c r="A13" s="14" t="str">
        <x:v>项目名称（票面）</x:v>
      </x:c>
      <x:c r="B13" s="14" t="str">
        <x:v>文本</x:v>
      </x:c>
      <x:c r="C13" s="49" t="str">
        <x:v>票面列示的商品或服务名称，不代表实际用途，不能据此自动补用途。</x:v>
      </x:c>
      <x:c r="D13" s="14" t="str">
        <x:v>不可修改</x:v>
      </x:c>
    </x:row>
    <x:row r="14" ht="35" customHeight="1">
      <x:c r="A14" s="2" t="str">
        <x:v>价税合计（元）</x:v>
      </x:c>
      <x:c r="B14" s="2" t="str">
        <x:v>数值</x:v>
      </x:c>
      <x:c r="C14" s="48" t="str">
        <x:v>本题发票金额的完整口径，保留两位小数，不拆分税额。</x:v>
      </x:c>
      <x:c r="D14" s="2" t="str">
        <x:v>不可修改</x:v>
      </x:c>
    </x:row>
    <x:row r="15" ht="35" customHeight="1">
      <x:c r="A15" s="14" t="str">
        <x:v>用途</x:v>
      </x:c>
      <x:c r="B15" s="14" t="str">
        <x:v>文本，可空</x:v>
      </x:c>
      <x:c r="C15" s="49" t="str">
        <x:v>空单元格表示未填写。仅有空白字符也视为未填写。</x:v>
      </x:c>
      <x:c r="D15" s="14" t="str">
        <x:v>有权限时可修改</x:v>
      </x:c>
    </x:row>
    <x:row r="16" ht="35" customHeight="1">
      <x:c r="A16" s="2" t="str">
        <x:v>发票备注</x:v>
      </x:c>
      <x:c r="B16" s="2" t="str">
        <x:v>文本，可空</x:v>
      </x:c>
      <x:c r="C16" s="48" t="str">
        <x:v>补充说明，不能替代用途；空单元格表示未填写。</x:v>
      </x:c>
      <x:c r="D16" s="2" t="str">
        <x:v>有权限时可修改</x:v>
      </x:c>
    </x:row>
    <x:row r="17" ht="35" customHeight="1">
      <x:c r="A17" s="14" t="str">
        <x:v>流水编号</x:v>
      </x:c>
      <x:c r="B17" s="14" t="str">
        <x:v>文本</x:v>
      </x:c>
      <x:c r="C17" s="49" t="str">
        <x:v>与企业编号共同定位，不与发票编号建立对应关系。</x:v>
      </x:c>
      <x:c r="D17" s="14" t="str">
        <x:v>不可修改</x:v>
      </x:c>
    </x:row>
    <x:row r="18" ht="35" customHeight="1">
      <x:c r="A18" s="2" t="str">
        <x:v>交易日期</x:v>
      </x:c>
      <x:c r="B18" s="2" t="str">
        <x:v>日期</x:v>
      </x:c>
      <x:c r="C18" s="48" t="str">
        <x:v>按年份和月份筛选，显示格式为 yyyy-mm-dd。</x:v>
      </x:c>
      <x:c r="D18" s="2" t="str">
        <x:v>不可修改</x:v>
      </x:c>
    </x:row>
    <x:row r="19" ht="35" customHeight="1">
      <x:c r="A19" s="14" t="str">
        <x:v>收支方向</x:v>
      </x:c>
      <x:c r="B19" s="14" t="str">
        <x:v>枚举</x:v>
      </x:c>
      <x:c r="C19" s="49" t="str">
        <x:v>收入或支出；分别计算金额，不互相抵销。</x:v>
      </x:c>
      <x:c r="D19" s="14" t="str">
        <x:v>不可修改</x:v>
      </x:c>
    </x:row>
    <x:row r="20" ht="35" customHeight="1">
      <x:c r="A20" s="2" t="str">
        <x:v>流水金额（元）</x:v>
      </x:c>
      <x:c r="B20" s="2" t="str">
        <x:v>数值</x:v>
      </x:c>
      <x:c r="C20" s="48" t="str">
        <x:v>正数金额，保留两位小数；方向由收支方向表示。</x:v>
      </x:c>
      <x:c r="D20" s="2" t="str">
        <x:v>不可修改</x:v>
      </x:c>
    </x:row>
    <x:row r="21" ht="35" customHeight="1">
      <x:c r="A21" s="14" t="str">
        <x:v>对方名称</x:v>
      </x:c>
      <x:c r="B21" s="14" t="str">
        <x:v>文本</x:v>
      </x:c>
      <x:c r="C21" s="49" t="str">
        <x:v>虚构交易方名称，不含真实银行账户。</x:v>
      </x:c>
      <x:c r="D21" s="14" t="str">
        <x:v>不可修改</x:v>
      </x:c>
    </x:row>
    <x:row r="22" ht="35" customHeight="1">
      <x:c r="A22" s="5" t="str">
        <x:v>流水备注</x:v>
      </x:c>
      <x:c r="B22" s="5" t="str">
        <x:v>文本</x:v>
      </x:c>
      <x:c r="C22" s="50" t="str">
        <x:v>记录说明，不能作为发票已付款的证明。</x:v>
      </x:c>
      <x:c r="D22" s="5" t="str">
        <x:v>不可修改</x:v>
      </x:c>
    </x:row>
    <x:row r="23" ht="27" customHeight="1">
      <x:c r="A23" s="2"/>
      <x:c r="B23" s="2"/>
      <x:c r="C23" s="2"/>
      <x:c r="D23" s="2"/>
    </x:row>
    <x:row r="24" ht="27" customHeight="1">
      <x:c r="A24" s="2" t="str">
        <x:v>日期应按日期类型处理，编号作为文本保存，金额按两位小数处理。</x:v>
      </x:c>
      <x:c r="B24" s="2"/>
      <x:c r="C24" s="2"/>
      <x:c r="D24" s="2"/>
    </x:row>
    <x:row r="25" ht="27" customHeight="1">
      <x:c r="A25" s="2" t="str">
        <x:v>资料仅用于比赛模拟，不涉及真实报税、付款或会计过账。</x:v>
      </x:c>
      <x:c r="B25" s="2"/>
      <x:c r="C25" s="2"/>
      <x:c r="D25" s="2"/>
    </x:row>
    <x:row r="26" ht="27" customHeight="1">
      <x:c r="A26" s="2"/>
      <x:c r="B26" s="2"/>
      <x:c r="C26" s="2"/>
      <x:c r="D26" s="2"/>
    </x:row>
  </x:sheetData>
  <x:pageMargins left="0.7" right="0.7" top="0.75" bottom="0.75" header="0.3" footer="0.3"/>
</x:worksheet>
</file>